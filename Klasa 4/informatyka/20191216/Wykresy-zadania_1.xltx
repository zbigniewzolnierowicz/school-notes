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Props/core.xml" ContentType="application/vnd.openxmlformats-package.core-properties+xml"/>
  <Override PartName="/xl/sharedStrings.xml" ContentType="application/vnd.openxmlformats-officedocument.spreadsheetml.sharedStrings+xml"/>
  <Override PartName="/xl/charts/_rels/chart2.xml.rels" ContentType="application/vnd.openxmlformats-package.relationship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3.xml" ContentType="application/vnd.openxmlformats-officedocument.drawingml.char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styles.xml" ContentType="application/vnd.openxmlformats-officedocument.spreadsheetml.styles+xml"/>
  <Override PartName="/xl/_rels/workbook.xml.rels" ContentType="application/vnd.openxmlformats-package.relationships+xml"/>
  <Override PartName="/xl/media/image11.png" ContentType="image/png"/>
  <Override PartName="/xl/media/image7.png" ContentType="image/png"/>
  <Override PartName="/xl/media/image12.png" ContentType="image/png"/>
  <Override PartName="/xl/media/image4.jpeg" ContentType="image/jpeg"/>
  <Override PartName="/xl/media/image6.wmf" ContentType="image/x-wmf"/>
  <Override PartName="/xl/media/image5.png" ContentType="image/png"/>
  <Override PartName="/xl/media/image1.png" ContentType="image/png"/>
  <Override PartName="/xl/media/image3.jpeg" ContentType="image/jpeg"/>
  <Override PartName="/xl/media/image2.png" ContentType="image/png"/>
  <Override PartName="/xl/media/image8.png" ContentType="image/png"/>
  <Override PartName="/xl/media/image9.wmf" ContentType="image/x-wmf"/>
  <Override PartName="/xl/media/image10.wmf" ContentType="image/x-wmf"/>
  <Override PartName="/xl/workbook.xml" ContentType="application/vnd.openxmlformats-officedocument.spreadsheetml.template.main+xml"/>
  <Override PartName="/xl/drawings/drawing5.xml" ContentType="application/vnd.openxmlformats-officedocument.drawing+xml"/>
  <Override PartName="/xl/drawings/drawing4.xml" ContentType="application/vnd.openxmlformats-officedocument.drawing+xml"/>
  <Override PartName="/xl/drawings/drawing6.xml" ContentType="application/vnd.openxmlformats-officedocument.drawing+xml"/>
  <Override PartName="/xl/drawings/drawing1.xml" ContentType="application/vnd.openxmlformats-officedocument.drawing+xml"/>
  <Override PartName="/xl/drawings/drawing7.xml" ContentType="application/vnd.openxmlformats-officedocument.drawing+xml"/>
  <Override PartName="/xl/drawings/_rels/drawing1.xml.rels" ContentType="application/vnd.openxmlformats-package.relationships+xml"/>
  <Override PartName="/xl/drawings/_rels/drawing2.xml.rels" ContentType="application/vnd.openxmlformats-package.relationships+xml"/>
  <Override PartName="/xl/drawings/_rels/drawing3.xml.rels" ContentType="application/vnd.openxmlformats-package.relationships+xml"/>
  <Override PartName="/xl/drawings/_rels/drawing7.xml.rels" ContentType="application/vnd.openxmlformats-package.relationships+xml"/>
  <Override PartName="/xl/drawings/_rels/drawing4.xml.rels" ContentType="application/vnd.openxmlformats-package.relationships+xml"/>
  <Override PartName="/xl/drawings/_rels/drawing5.xml.rels" ContentType="application/vnd.openxmlformats-package.relationships+xml"/>
  <Override PartName="/xl/drawings/_rels/drawing6.xml.rels" ContentType="application/vnd.openxmlformats-package.relationship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worksheets/sheet5.xml" ContentType="application/vnd.openxmlformats-officedocument.spreadsheetml.worksheet+xml"/>
  <Override PartName="/xl/worksheets/sheet4.xml" ContentType="application/vnd.openxmlformats-officedocument.spreadsheetml.worksheet+xml"/>
  <Override PartName="/xl/worksheets/_rels/sheet1.xml.rels" ContentType="application/vnd.openxmlformats-package.relationship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5.xml.rels" ContentType="application/vnd.openxmlformats-package.relationships+xml"/>
  <Override PartName="/xl/worksheets/_rels/sheet6.xml.rels" ContentType="application/vnd.openxmlformats-package.relationships+xml"/>
  <Override PartName="/xl/worksheets/_rels/sheet4.xml.rels" ContentType="application/vnd.openxmlformats-package.relationships+xml"/>
  <Override PartName="/xl/worksheets/_rels/sheet7.xml.rels" ContentType="application/vnd.openxmlformats-package.relationships+xml"/>
  <Override PartName="/xl/worksheets/sheet3.xml" ContentType="application/vnd.openxmlformats-officedocument.spreadsheetml.worksheet+xml"/>
  <Override PartName="/xl/worksheets/sheet7.xml" ContentType="application/vnd.openxmlformats-officedocument.spreadsheetml.worksheet+xml"/>
  <Override PartName="/xl/worksheets/sheet2.xml" ContentType="application/vnd.openxmlformats-officedocument.spreadsheetml.worksheet+xml"/>
  <Override PartName="/xl/worksheets/sheet8.xml" ContentType="application/vnd.openxmlformats-officedocument.spreadsheetml.worksheet+xml"/>
  <Override PartName="/xl/worksheets/sheet6.xml" ContentType="application/vnd.openxmlformats-officedocument.spreadsheetml.worksheet+xml"/>
  <Override PartName="/xl/worksheets/sheet1.xml" ContentType="application/vnd.openxmlformats-officedocument.spreadsheetml.worksheet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4"/>
  </bookViews>
  <sheets>
    <sheet name="1. Kurs dolara" sheetId="1" state="visible" r:id="rId2"/>
    <sheet name="2. Kosmos" sheetId="2" state="visible" r:id="rId3"/>
    <sheet name="3. Pierwiastek" sheetId="3" state="visible" r:id="rId4"/>
    <sheet name="4. Waga i wzrost" sheetId="4" state="visible" r:id="rId5"/>
    <sheet name="5. Tangens" sheetId="5" state="visible" r:id="rId6"/>
    <sheet name="6. Pisarze" sheetId="6" state="visible" r:id="rId7"/>
    <sheet name="7. Frekwencja" sheetId="7" state="visible" r:id="rId8"/>
    <sheet name="Arkusz1" sheetId="8" state="visible" r:id="rId9"/>
  </sheets>
  <definedNames>
    <definedName function="false" hidden="false" name="Imiona" vbProcedure="false">#REF!</definedName>
    <definedName function="false" hidden="false" name="Kwerenda1" vbProcedure="false">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<sst xmlns="http://schemas.openxmlformats.org/spreadsheetml/2006/main" count="63" uniqueCount="61">
  <si>
    <t xml:space="preserve">Miesiąc</t>
  </si>
  <si>
    <t xml:space="preserve">Styczeń</t>
  </si>
  <si>
    <t xml:space="preserve">Luty</t>
  </si>
  <si>
    <t xml:space="preserve">Marzec</t>
  </si>
  <si>
    <t xml:space="preserve">Kwiecień</t>
  </si>
  <si>
    <t xml:space="preserve">Maj</t>
  </si>
  <si>
    <t xml:space="preserve">Czerwiec</t>
  </si>
  <si>
    <t xml:space="preserve">Lipiec</t>
  </si>
  <si>
    <t xml:space="preserve">Sierpień</t>
  </si>
  <si>
    <t xml:space="preserve">Wrzesień</t>
  </si>
  <si>
    <t xml:space="preserve">Październik</t>
  </si>
  <si>
    <t xml:space="preserve">Listopad</t>
  </si>
  <si>
    <t xml:space="preserve">Grudzień</t>
  </si>
  <si>
    <t xml:space="preserve">Kurs</t>
  </si>
  <si>
    <t xml:space="preserve">Obiekt</t>
  </si>
  <si>
    <t xml:space="preserve">Średnica [tys. km]</t>
  </si>
  <si>
    <t xml:space="preserve">Ziemia</t>
  </si>
  <si>
    <t xml:space="preserve">Saturn</t>
  </si>
  <si>
    <t xml:space="preserve">Słońce</t>
  </si>
  <si>
    <t xml:space="preserve">Syriusz</t>
  </si>
  <si>
    <t xml:space="preserve">Polluks</t>
  </si>
  <si>
    <t xml:space="preserve">Rigel</t>
  </si>
  <si>
    <t xml:space="preserve">x</t>
  </si>
  <si>
    <t xml:space="preserve">y</t>
  </si>
  <si>
    <t xml:space="preserve">Koszykarz</t>
  </si>
  <si>
    <t xml:space="preserve">Waga [kg]</t>
  </si>
  <si>
    <t xml:space="preserve">Wzrost [cm]</t>
  </si>
  <si>
    <t xml:space="preserve">Zawodnik nr 1</t>
  </si>
  <si>
    <t xml:space="preserve">Zawodnik nr 2</t>
  </si>
  <si>
    <t xml:space="preserve">Zawodnik nr 3</t>
  </si>
  <si>
    <t xml:space="preserve">Zawodnik nr 4</t>
  </si>
  <si>
    <t xml:space="preserve">Zawodnik nr 5</t>
  </si>
  <si>
    <t xml:space="preserve">Zawodnik nr 6</t>
  </si>
  <si>
    <t xml:space="preserve">Zawodnik nr 7</t>
  </si>
  <si>
    <t xml:space="preserve">Zawodnik nr 8</t>
  </si>
  <si>
    <t xml:space="preserve">Zawodnik nr 9</t>
  </si>
  <si>
    <t xml:space="preserve">Zawodnik nr 10</t>
  </si>
  <si>
    <t xml:space="preserve">y = tg(x)</t>
  </si>
  <si>
    <t xml:space="preserve">y = tg(x + pi()/2)</t>
  </si>
  <si>
    <t xml:space="preserve">Autor</t>
  </si>
  <si>
    <t xml:space="preserve">Liczba głosów</t>
  </si>
  <si>
    <t xml:space="preserve">Mickiewicz</t>
  </si>
  <si>
    <t xml:space="preserve">Sienkiewicz</t>
  </si>
  <si>
    <t xml:space="preserve">Norwid</t>
  </si>
  <si>
    <t xml:space="preserve">Orzeszkowa</t>
  </si>
  <si>
    <t xml:space="preserve">Słowacki</t>
  </si>
  <si>
    <t xml:space="preserve">Gombrowicz</t>
  </si>
  <si>
    <t xml:space="preserve">Kochanowski</t>
  </si>
  <si>
    <t xml:space="preserve">Konopnicka</t>
  </si>
  <si>
    <t xml:space="preserve">inny</t>
  </si>
  <si>
    <t xml:space="preserve">Frekwencja</t>
  </si>
  <si>
    <t xml:space="preserve">wrzesień</t>
  </si>
  <si>
    <t xml:space="preserve">październik</t>
  </si>
  <si>
    <t xml:space="preserve">listopad</t>
  </si>
  <si>
    <t xml:space="preserve">grudzień</t>
  </si>
  <si>
    <t xml:space="preserve">styczeń</t>
  </si>
  <si>
    <t xml:space="preserve">luty</t>
  </si>
  <si>
    <t xml:space="preserve">marzec</t>
  </si>
  <si>
    <t xml:space="preserve">kwiecień</t>
  </si>
  <si>
    <t xml:space="preserve">maj</t>
  </si>
  <si>
    <t xml:space="preserve">czerwiec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</si>
</sst>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#,##0.00\ [$zł-415];\-#,##0.00\ [$zł-415]"/>
    <numFmt numFmtId="166" formatCode="0%"/>
    <numFmt numFmtId="167" formatCode="0.0%"/>
  </numFmts>
  <fonts count="12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238"/>
    </font>
    <font>
      <b val="true"/>
      <sz val="11"/>
      <color rgb="FF1F497D"/>
      <name val="Calibri"/>
      <family val="0"/>
    </font>
    <font>
      <i val="true"/>
      <sz val="11"/>
      <color rgb="FFFF0000"/>
      <name val="Calibri"/>
      <family val="0"/>
    </font>
    <font>
      <b val="true"/>
      <i val="true"/>
      <sz val="15"/>
      <color rgb="FFFF4000"/>
      <name val="arial"/>
      <family val="2"/>
    </font>
    <font>
      <sz val="10"/>
      <name val="arial"/>
      <family val="2"/>
    </font>
    <font>
      <i val="true"/>
      <sz val="11"/>
      <color rgb="FF595959"/>
      <name val="Calibri"/>
      <family val="0"/>
    </font>
    <font>
      <b val="true"/>
      <sz val="14"/>
      <name val="arial"/>
      <family val="2"/>
    </font>
    <font>
      <i val="true"/>
      <sz val="11"/>
      <color rgb="FF002060"/>
      <name val="Calibri"/>
      <family val="0"/>
    </font>
  </fonts>
  <fills count="3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2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ny 2" xfId="20"/>
  </cellStyles>
  <colors>
    <indexedColors>
      <rgbColor rgb="FF000000"/>
      <rgbColor rgb="FFE6E6E6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4586"/>
      <rgbColor rgb="FFCCCCCC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DDDDD"/>
      <rgbColor rgb="FFFFFF99"/>
      <rgbColor rgb="FF99CCFF"/>
      <rgbColor rgb="FFFF99CC"/>
      <rgbColor rgb="FFCC99FF"/>
      <rgbColor rgb="FFFFCC99"/>
      <rgbColor rgb="FF3366FF"/>
      <rgbColor rgb="FF33CCCC"/>
      <rgbColor rgb="FF81D41A"/>
      <rgbColor rgb="FFFFBF00"/>
      <rgbColor rgb="FFFF9900"/>
      <rgbColor rgb="FFFF420E"/>
      <rgbColor rgb="FF595959"/>
      <rgbColor rgb="FFB3B3B3"/>
      <rgbColor rgb="FF002060"/>
      <rgbColor rgb="FF339966"/>
      <rgbColor rgb="FF003300"/>
      <rgbColor rgb="FF333300"/>
      <rgbColor rgb="FFFF4000"/>
      <rgbColor rgb="FF993366"/>
      <rgbColor rgb="FF1F497D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worksheet" Target="worksheets/sheet8.xml"/><Relationship Id="rId10" Type="http://schemas.openxmlformats.org/officeDocument/2006/relationships/sharedStrings" Target="sharedStrings.xml"/>
</Relationships>
</file>

<file path=xl/charts/_rels/chart2.xml.rels><?xml version="1.0" encoding="UTF-8"?>
<Relationships xmlns="http://schemas.openxmlformats.org/package/2006/relationships"><Relationship Id="rId1" Type="http://schemas.openxmlformats.org/officeDocument/2006/relationships/image" Target="../media/image3.jpeg"/><Relationship Id="rId2" Type="http://schemas.openxmlformats.org/officeDocument/2006/relationships/image" Target="../media/image4.jpeg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i="1" sz="1500" spc="-1" strike="noStrike">
                <a:solidFill>
                  <a:srgbClr val="ff4000"/>
                </a:solidFill>
                <a:latin typeface="arial"/>
              </a:defRPr>
            </a:pPr>
            <a:r>
              <a:rPr b="1" i="1" sz="1500" spc="-1" strike="noStrike">
                <a:solidFill>
                  <a:srgbClr val="ff4000"/>
                </a:solidFill>
                <a:latin typeface="arial"/>
              </a:rPr>
              <a:t>Kurs dolara</a:t>
            </a:r>
          </a:p>
        </c:rich>
      </c:tx>
      <c:layout>
        <c:manualLayout>
          <c:xMode val="edge"/>
          <c:yMode val="edge"/>
          <c:x val="0.795125"/>
          <c:y val="0.00748227881333683"/>
        </c:manualLayout>
      </c:layout>
      <c:overlay val="0"/>
      <c:spPr>
        <a:solidFill>
          <a:srgbClr val="b3b3b3"/>
        </a:solidFill>
        <a:ln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997249828114257"/>
          <c:y val="0.155461717968663"/>
          <c:w val="0.757234827176699"/>
          <c:h val="0.659851094566063"/>
        </c:manualLayout>
      </c:layout>
      <c:lineChart>
        <c:grouping val="standard"/>
        <c:varyColors val="0"/>
        <c:ser>
          <c:idx val="0"/>
          <c:order val="0"/>
          <c:tx>
            <c:strRef>
              <c:f>'1. Kurs dolara'!$A$2</c:f>
              <c:strCache>
                <c:ptCount val="1"/>
                <c:pt idx="0">
                  <c:v>Kurs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none"/>
          </c:marker>
          <c:dLbls>
            <c:numFmt formatCode="General" sourceLinked="1"/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'1. Kurs dolara'!$B$1:$M$1</c:f>
              <c:strCache>
                <c:ptCount val="12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  <c:pt idx="6">
                  <c:v>Lipiec</c:v>
                </c:pt>
                <c:pt idx="7">
                  <c:v>Sierpień</c:v>
                </c:pt>
                <c:pt idx="8">
                  <c:v>Wrzesień</c:v>
                </c:pt>
                <c:pt idx="9">
                  <c:v>Październik</c:v>
                </c:pt>
                <c:pt idx="10">
                  <c:v>Listopad</c:v>
                </c:pt>
                <c:pt idx="11">
                  <c:v>Grudzień</c:v>
                </c:pt>
              </c:strCache>
            </c:strRef>
          </c:cat>
          <c:val>
            <c:numRef>
              <c:f>'1. Kurs dolara'!$B$2:$M$2</c:f>
              <c:numCache>
                <c:formatCode>General</c:formatCode>
                <c:ptCount val="12"/>
                <c:pt idx="0">
                  <c:v>2.8518</c:v>
                </c:pt>
                <c:pt idx="1">
                  <c:v>2.9385</c:v>
                </c:pt>
                <c:pt idx="2">
                  <c:v>2.8672</c:v>
                </c:pt>
                <c:pt idx="3">
                  <c:v>2.8799</c:v>
                </c:pt>
                <c:pt idx="4">
                  <c:v>3.2137</c:v>
                </c:pt>
                <c:pt idx="5">
                  <c:v>3.3571</c:v>
                </c:pt>
                <c:pt idx="6">
                  <c:v>3.195</c:v>
                </c:pt>
                <c:pt idx="7">
                  <c:v>3.0894</c:v>
                </c:pt>
                <c:pt idx="8">
                  <c:v>3.0318</c:v>
                </c:pt>
                <c:pt idx="9">
                  <c:v>2.8482</c:v>
                </c:pt>
                <c:pt idx="10">
                  <c:v>2.8913</c:v>
                </c:pt>
                <c:pt idx="11">
                  <c:v>3.0197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0"/>
        <c:axId val="71909265"/>
        <c:axId val="67629826"/>
      </c:lineChart>
      <c:catAx>
        <c:axId val="7190926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67629826"/>
        <c:crosses val="autoZero"/>
        <c:auto val="1"/>
        <c:lblAlgn val="ctr"/>
        <c:lblOffset val="100"/>
      </c:catAx>
      <c:valAx>
        <c:axId val="67629826"/>
        <c:scaling>
          <c:orientation val="minMax"/>
          <c:min val="2.8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minorGridlines>
          <c:spPr>
            <a:ln w="18360">
              <a:solidFill>
                <a:srgbClr val="dddddd"/>
              </a:solidFill>
              <a:prstDash val="dash"/>
              <a:round/>
            </a:ln>
          </c:spPr>
        </c:minorGridlines>
        <c:numFmt formatCode="#,##0.00\ [$zł-415];\-#,##0.00\ [$zł-415]" sourceLinked="0"/>
        <c:majorTickMark val="out"/>
        <c:minorTickMark val="out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71909265"/>
        <c:crossesAt val="0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gap"/>
  </c:chart>
  <c:spPr>
    <a:solidFill>
      <a:srgbClr val="ffffff"/>
    </a:solidFill>
    <a:ln>
      <a:noFill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400" spc="-1" strike="noStrike">
                <a:latin typeface="arial"/>
              </a:defRPr>
            </a:pPr>
            <a:r>
              <a:rPr b="1" sz="1400" spc="-1" strike="noStrike">
                <a:latin typeface="arial"/>
              </a:rPr>
              <a:t>Średnica obiektów kosmicznych</a:t>
            </a:r>
          </a:p>
        </c:rich>
      </c:tx>
      <c:overlay val="0"/>
      <c:spPr>
        <a:noFill/>
        <a:ln>
          <a:noFill/>
        </a:ln>
      </c:spPr>
    </c:title>
    <c:autoTitleDeleted val="0"/>
    <c:view3D>
      <c:rotX val="11"/>
      <c:rotY val="25"/>
      <c:rAngAx val="1"/>
      <c:perspective val="40"/>
    </c:view3D>
    <c:floor>
      <c:spPr>
        <a:solidFill>
          <a:srgbClr val="cccccc"/>
        </a:solidFill>
        <a:ln>
          <a:noFill/>
        </a:ln>
      </c:spPr>
    </c:floor>
    <c:sideWall>
      <c:spPr>
        <a:blipFill rotWithShape="0">
          <a:blip r:embed="rId1"/>
          <a:tile/>
        </a:blipFill>
        <a:ln>
          <a:solidFill>
            <a:srgbClr val="b3b3b3"/>
          </a:solidFill>
        </a:ln>
      </c:spPr>
    </c:sideWall>
    <c:backWall>
      <c:spPr>
        <a:blipFill rotWithShape="0">
          <a:blip r:embed="rId2"/>
          <a:tile/>
        </a:blipFill>
        <a:ln>
          <a:solidFill>
            <a:srgbClr val="b3b3b3"/>
          </a:solidFill>
        </a:ln>
      </c:spPr>
    </c:backWall>
    <c:plotArea>
      <c:bar3DChart>
        <c:barDir val="bar"/>
        <c:grouping val="clustered"/>
        <c:varyColors val="0"/>
        <c:ser>
          <c:idx val="0"/>
          <c:order val="0"/>
          <c:tx>
            <c:strRef>
              <c:f>'2. Kosmos'!$C$3</c:f>
              <c:strCache>
                <c:ptCount val="1"/>
                <c:pt idx="0">
                  <c:v>Średnica [tys. km]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'2. Kosmos'!$B$4:$B$9</c:f>
              <c:strCache>
                <c:ptCount val="6"/>
                <c:pt idx="0">
                  <c:v>Ziemia</c:v>
                </c:pt>
                <c:pt idx="1">
                  <c:v>Saturn</c:v>
                </c:pt>
                <c:pt idx="2">
                  <c:v>Słońce</c:v>
                </c:pt>
                <c:pt idx="3">
                  <c:v>Syriusz</c:v>
                </c:pt>
                <c:pt idx="4">
                  <c:v>Polluks</c:v>
                </c:pt>
                <c:pt idx="5">
                  <c:v>Rigel</c:v>
                </c:pt>
              </c:strCache>
            </c:strRef>
          </c:cat>
          <c:val>
            <c:numRef>
              <c:f>'2. Kosmos'!$C$4:$C$9</c:f>
              <c:numCache>
                <c:formatCode>General</c:formatCode>
                <c:ptCount val="6"/>
                <c:pt idx="0">
                  <c:v>12.756</c:v>
                </c:pt>
                <c:pt idx="1">
                  <c:v>108.728</c:v>
                </c:pt>
                <c:pt idx="2">
                  <c:v>1392.5</c:v>
                </c:pt>
                <c:pt idx="3">
                  <c:v>2506.5</c:v>
                </c:pt>
                <c:pt idx="4">
                  <c:v>6962.5</c:v>
                </c:pt>
                <c:pt idx="5">
                  <c:v>86335</c:v>
                </c:pt>
              </c:numCache>
            </c:numRef>
          </c:val>
        </c:ser>
        <c:gapWidth val="100"/>
        <c:shape val="box"/>
        <c:axId val="19223058"/>
        <c:axId val="258009"/>
        <c:axId val="0"/>
      </c:bar3DChart>
      <c:catAx>
        <c:axId val="1922305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258009"/>
        <c:crosses val="autoZero"/>
        <c:auto val="1"/>
        <c:lblAlgn val="ctr"/>
        <c:lblOffset val="100"/>
      </c:catAx>
      <c:valAx>
        <c:axId val="258009"/>
        <c:scaling>
          <c:logBase val="10"/>
          <c:orientation val="minMax"/>
          <c:min val="1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19223058"/>
        <c:crossesAt val="0"/>
      </c:valAx>
    </c:plotArea>
    <c:plotVisOnly val="1"/>
    <c:dispBlanksAs val="gap"/>
  </c:chart>
  <c:spPr>
    <a:solidFill>
      <a:srgbClr val="ffffff"/>
    </a:solidFill>
    <a:ln>
      <a:noFill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scatterChart>
        <c:scatterStyle val="line"/>
        <c:varyColors val="0"/>
        <c:ser>
          <c:idx val="0"/>
          <c:order val="0"/>
          <c:tx>
            <c:strRef>
              <c:f>'3. Pierwiastek'!$B$1</c:f>
              <c:strCache>
                <c:ptCount val="1"/>
                <c:pt idx="0">
                  <c:v>y</c:v>
                </c:pt>
              </c:strCache>
            </c:strRef>
          </c:tx>
          <c:spPr>
            <a:solidFill>
              <a:srgbClr val="ffbf00"/>
            </a:solidFill>
            <a:ln w="28800">
              <a:solidFill>
                <a:srgbClr val="ffbf00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xVal>
            <c:numRef>
              <c:f>'3. Pierwiastek'!$A$2:$A$42</c:f>
              <c:numCache>
                <c:formatCode>General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</c:v>
                </c:pt>
                <c:pt idx="23">
                  <c:v>2.3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</c:numCache>
            </c:numRef>
          </c:xVal>
          <c:yVal>
            <c:numRef>
              <c:f>'3. Pierwiastek'!$B$2:$B$42</c:f>
              <c:numCache>
                <c:formatCode>General</c:formatCode>
                <c:ptCount val="41"/>
                <c:pt idx="0">
                  <c:v>0</c:v>
                </c:pt>
                <c:pt idx="1">
                  <c:v>0.146247529557426</c:v>
                </c:pt>
                <c:pt idx="2">
                  <c:v>0.361803398874989</c:v>
                </c:pt>
                <c:pt idx="3">
                  <c:v>0.663309667502214</c:v>
                </c:pt>
                <c:pt idx="4">
                  <c:v>1.08830368802245</c:v>
                </c:pt>
                <c:pt idx="5">
                  <c:v>1.70710678118655</c:v>
                </c:pt>
                <c:pt idx="6">
                  <c:v>2.66189500386223</c:v>
                </c:pt>
                <c:pt idx="7">
                  <c:v>4.28554006191284</c:v>
                </c:pt>
                <c:pt idx="8">
                  <c:v>7.57770876399966</c:v>
                </c:pt>
                <c:pt idx="9">
                  <c:v>17.5381496824546</c:v>
                </c:pt>
                <c:pt idx="11">
                  <c:v>-22.5368973298716</c:v>
                </c:pt>
                <c:pt idx="12">
                  <c:v>-12.572670690062</c:v>
                </c:pt>
                <c:pt idx="13">
                  <c:v>-9.27409350876293</c:v>
                </c:pt>
                <c:pt idx="14">
                  <c:v>-7.64125584816973</c:v>
                </c:pt>
                <c:pt idx="15">
                  <c:v>-6.67423461417477</c:v>
                </c:pt>
                <c:pt idx="16">
                  <c:v>-6.03976283751294</c:v>
                </c:pt>
                <c:pt idx="17">
                  <c:v>-5.59504116824129</c:v>
                </c:pt>
                <c:pt idx="18">
                  <c:v>-5.26869176962472</c:v>
                </c:pt>
                <c:pt idx="19">
                  <c:v>-5.0210769587746</c:v>
                </c:pt>
                <c:pt idx="20">
                  <c:v>-4.82842712474619</c:v>
                </c:pt>
                <c:pt idx="21">
                  <c:v>-4.67562646972707</c:v>
                </c:pt>
                <c:pt idx="22">
                  <c:v>-4.55260611193508</c:v>
                </c:pt>
                <c:pt idx="23">
                  <c:v>-4.45240208020286</c:v>
                </c:pt>
                <c:pt idx="24">
                  <c:v>-4.37004572311366</c:v>
                </c:pt>
                <c:pt idx="25">
                  <c:v>-4.30189805014032</c:v>
                </c:pt>
                <c:pt idx="26">
                  <c:v>-4.24523376819703</c:v>
                </c:pt>
                <c:pt idx="27">
                  <c:v>-4.19797218575991</c:v>
                </c:pt>
                <c:pt idx="28">
                  <c:v>-4.15849786032824</c:v>
                </c:pt>
                <c:pt idx="29">
                  <c:v>-4.12553791900982</c:v>
                </c:pt>
                <c:pt idx="30">
                  <c:v>-4.09807621135332</c:v>
                </c:pt>
                <c:pt idx="31">
                  <c:v>-4.07529201291157</c:v>
                </c:pt>
                <c:pt idx="32">
                  <c:v>-4.05651546472703</c:v>
                </c:pt>
                <c:pt idx="33">
                  <c:v>-4.04119465265784</c:v>
                </c:pt>
                <c:pt idx="34">
                  <c:v>-4.02887092956632</c:v>
                </c:pt>
                <c:pt idx="35">
                  <c:v>-4.01916017074176</c:v>
                </c:pt>
                <c:pt idx="36">
                  <c:v>-4.01173836383219</c:v>
                </c:pt>
                <c:pt idx="37">
                  <c:v>-4.00633040845126</c:v>
                </c:pt>
                <c:pt idx="38">
                  <c:v>-4.00270132216243</c:v>
                </c:pt>
                <c:pt idx="39">
                  <c:v>-4.00064927126596</c:v>
                </c:pt>
                <c:pt idx="40">
                  <c:v>-4</c:v>
                </c:pt>
              </c:numCache>
            </c:numRef>
          </c:yVal>
          <c:smooth val="0"/>
        </c:ser>
        <c:axId val="71130276"/>
        <c:axId val="179488"/>
      </c:scatterChart>
      <c:valAx>
        <c:axId val="711302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179488"/>
        <c:crossesAt val="0"/>
        <c:crossBetween val="midCat"/>
        <c:majorUnit val="1"/>
      </c:valAx>
      <c:valAx>
        <c:axId val="179488"/>
        <c:scaling>
          <c:orientation val="minMax"/>
        </c:scaling>
        <c:delete val="0"/>
        <c:axPos val="l"/>
        <c:majorGridlines>
          <c:spPr>
            <a:ln w="36720">
              <a:solidFill>
                <a:srgbClr val="b3b3b3"/>
              </a:solidFill>
              <a:round/>
            </a:ln>
          </c:spPr>
        </c:majorGridlines>
        <c:numFmt formatCode="General" sourceLinked="1"/>
        <c:majorTickMark val="out"/>
        <c:minorTickMark val="none"/>
        <c:tickLblPos val="nextTo"/>
        <c:spPr>
          <a:ln w="36720">
            <a:solidFill>
              <a:srgbClr val="b3b3b3"/>
            </a:solidFill>
            <a:round/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71130276"/>
        <c:crossesAt val="0"/>
        <c:crossBetween val="midCat"/>
      </c:valAx>
      <c:spPr>
        <a:solidFill>
          <a:srgbClr val="c0c0c0"/>
        </a:solidFill>
        <a:ln>
          <a:solidFill>
            <a:srgbClr val="b3b3b3"/>
          </a:solidFill>
        </a:ln>
      </c:spPr>
    </c:plotArea>
    <c:plotVisOnly val="1"/>
    <c:dispBlanksAs val="gap"/>
  </c:chart>
  <c:spPr>
    <a:solidFill>
      <a:srgbClr val="ffffff"/>
    </a:solidFill>
    <a:ln>
      <a:noFill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clustered"/>
        <c:varyColors val="0"/>
        <c:ser>
          <c:idx val="0"/>
          <c:order val="0"/>
          <c:tx>
            <c:strRef>
              <c:f>'4. Waga i wzrost'!$D$2</c:f>
              <c:strCache>
                <c:ptCount val="1"/>
                <c:pt idx="0">
                  <c:v>Waga [kg]</c:v>
                </c:pt>
              </c:strCache>
            </c:strRef>
          </c:tx>
          <c:spPr>
            <a:gradFill>
              <a:gsLst>
                <a:gs pos="0">
                  <a:srgbClr val="ffff00"/>
                </a:gs>
                <a:gs pos="100000">
                  <a:srgbClr val="81d41a"/>
                </a:gs>
              </a:gsLst>
              <a:lin ang="3600000"/>
            </a:gra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'4. Waga i wzrost'!$C$3:$C$12</c:f>
              <c:strCache>
                <c:ptCount val="10"/>
                <c:pt idx="0">
                  <c:v>Zawodnik nr 1</c:v>
                </c:pt>
                <c:pt idx="1">
                  <c:v>Zawodnik nr 2</c:v>
                </c:pt>
                <c:pt idx="2">
                  <c:v>Zawodnik nr 3</c:v>
                </c:pt>
                <c:pt idx="3">
                  <c:v>Zawodnik nr 4</c:v>
                </c:pt>
                <c:pt idx="4">
                  <c:v>Zawodnik nr 5</c:v>
                </c:pt>
                <c:pt idx="5">
                  <c:v>Zawodnik nr 6</c:v>
                </c:pt>
                <c:pt idx="6">
                  <c:v>Zawodnik nr 7</c:v>
                </c:pt>
                <c:pt idx="7">
                  <c:v>Zawodnik nr 8</c:v>
                </c:pt>
                <c:pt idx="8">
                  <c:v>Zawodnik nr 9</c:v>
                </c:pt>
                <c:pt idx="9">
                  <c:v>Zawodnik nr 10</c:v>
                </c:pt>
              </c:strCache>
            </c:strRef>
          </c:cat>
          <c:val>
            <c:numRef>
              <c:f>'4. Waga i wzrost'!$D$3:$D$12</c:f>
              <c:numCache>
                <c:formatCode>General</c:formatCode>
                <c:ptCount val="10"/>
                <c:pt idx="0">
                  <c:v>92</c:v>
                </c:pt>
                <c:pt idx="1">
                  <c:v>101</c:v>
                </c:pt>
                <c:pt idx="2">
                  <c:v>129</c:v>
                </c:pt>
                <c:pt idx="3">
                  <c:v>123</c:v>
                </c:pt>
                <c:pt idx="4">
                  <c:v>128</c:v>
                </c:pt>
                <c:pt idx="5">
                  <c:v>108</c:v>
                </c:pt>
                <c:pt idx="6">
                  <c:v>81</c:v>
                </c:pt>
                <c:pt idx="7">
                  <c:v>125</c:v>
                </c:pt>
                <c:pt idx="8">
                  <c:v>107</c:v>
                </c:pt>
                <c:pt idx="9">
                  <c:v>101</c:v>
                </c:pt>
              </c:numCache>
            </c:numRef>
          </c:val>
        </c:ser>
        <c:gapWidth val="100"/>
        <c:overlap val="0"/>
        <c:axId val="58929849"/>
        <c:axId val="57888916"/>
      </c:barChart>
      <c:lineChart>
        <c:grouping val="standard"/>
        <c:varyColors val="0"/>
        <c:ser>
          <c:idx val="1"/>
          <c:order val="1"/>
          <c:tx>
            <c:strRef>
              <c:f>'4. Waga i wzrost'!$E$2</c:f>
              <c:strCache>
                <c:ptCount val="1"/>
                <c:pt idx="0">
                  <c:v>Wzrost [cm]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'4. Waga i wzrost'!$C$3:$C$12</c:f>
              <c:strCache>
                <c:ptCount val="10"/>
                <c:pt idx="0">
                  <c:v>Zawodnik nr 1</c:v>
                </c:pt>
                <c:pt idx="1">
                  <c:v>Zawodnik nr 2</c:v>
                </c:pt>
                <c:pt idx="2">
                  <c:v>Zawodnik nr 3</c:v>
                </c:pt>
                <c:pt idx="3">
                  <c:v>Zawodnik nr 4</c:v>
                </c:pt>
                <c:pt idx="4">
                  <c:v>Zawodnik nr 5</c:v>
                </c:pt>
                <c:pt idx="5">
                  <c:v>Zawodnik nr 6</c:v>
                </c:pt>
                <c:pt idx="6">
                  <c:v>Zawodnik nr 7</c:v>
                </c:pt>
                <c:pt idx="7">
                  <c:v>Zawodnik nr 8</c:v>
                </c:pt>
                <c:pt idx="8">
                  <c:v>Zawodnik nr 9</c:v>
                </c:pt>
                <c:pt idx="9">
                  <c:v>Zawodnik nr 10</c:v>
                </c:pt>
              </c:strCache>
            </c:strRef>
          </c:cat>
          <c:val>
            <c:numRef>
              <c:f>'4. Waga i wzrost'!$E$3:$E$12</c:f>
              <c:numCache>
                <c:formatCode>General</c:formatCode>
                <c:ptCount val="10"/>
                <c:pt idx="0">
                  <c:v>198</c:v>
                </c:pt>
                <c:pt idx="1">
                  <c:v>199</c:v>
                </c:pt>
                <c:pt idx="2">
                  <c:v>208</c:v>
                </c:pt>
                <c:pt idx="3">
                  <c:v>199</c:v>
                </c:pt>
                <c:pt idx="4">
                  <c:v>198</c:v>
                </c:pt>
                <c:pt idx="5">
                  <c:v>204</c:v>
                </c:pt>
                <c:pt idx="6">
                  <c:v>210</c:v>
                </c:pt>
                <c:pt idx="7">
                  <c:v>203</c:v>
                </c:pt>
                <c:pt idx="8">
                  <c:v>208</c:v>
                </c:pt>
                <c:pt idx="9">
                  <c:v>210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80227074"/>
        <c:axId val="67272226"/>
      </c:lineChart>
      <c:catAx>
        <c:axId val="5892984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18360">
            <a:solidFill>
              <a:srgbClr val="b3b3b3"/>
            </a:solidFill>
            <a:round/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57888916"/>
        <c:crosses val="autoZero"/>
        <c:auto val="1"/>
        <c:lblAlgn val="ctr"/>
        <c:lblOffset val="100"/>
      </c:catAx>
      <c:valAx>
        <c:axId val="57888916"/>
        <c:scaling>
          <c:orientation val="minMax"/>
          <c:max val="140"/>
          <c:min val="40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minorGridlines>
          <c:spPr>
            <a:ln w="18360">
              <a:solidFill>
                <a:srgbClr val="dddddd"/>
              </a:solidFill>
              <a:round/>
            </a:ln>
          </c:spPr>
        </c:minorGridlines>
        <c:numFmt formatCode="General" sourceLinked="1"/>
        <c:majorTickMark val="out"/>
        <c:minorTickMark val="none"/>
        <c:tickLblPos val="nextTo"/>
        <c:spPr>
          <a:ln w="18360">
            <a:solidFill>
              <a:srgbClr val="b3b3b3"/>
            </a:solidFill>
            <a:round/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58929849"/>
        <c:crossesAt val="0"/>
        <c:majorUnit val="20"/>
      </c:valAx>
      <c:catAx>
        <c:axId val="80227074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67272226"/>
        <c:auto val="1"/>
        <c:lblAlgn val="ctr"/>
        <c:lblOffset val="100"/>
      </c:catAx>
      <c:valAx>
        <c:axId val="67272226"/>
        <c:scaling>
          <c:orientation val="minMax"/>
          <c:max val="210"/>
          <c:min val="190"/>
        </c:scaling>
        <c:delete val="0"/>
        <c:axPos val="r"/>
        <c:numFmt formatCode="General" sourceLinked="1"/>
        <c:majorTickMark val="out"/>
        <c:minorTickMark val="cross"/>
        <c:tickLblPos val="nextTo"/>
        <c:spPr>
          <a:ln w="18360">
            <a:solidFill>
              <a:srgbClr val="b3b3b3"/>
            </a:solidFill>
            <a:round/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80227074"/>
        <c:crosses val="max"/>
        <c:majorUnit val="2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latin typeface="arial"/>
            </a:defRPr>
          </a:pPr>
        </a:p>
      </c:txPr>
    </c:legend>
    <c:plotVisOnly val="1"/>
    <c:dispBlanksAs val="gap"/>
  </c:chart>
  <c:spPr>
    <a:solidFill>
      <a:srgbClr val="ffffff"/>
    </a:solidFill>
    <a:ln>
      <a:noFill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scatterChart>
        <c:scatterStyle val="line"/>
        <c:varyColors val="0"/>
        <c:ser>
          <c:idx val="0"/>
          <c:order val="0"/>
          <c:tx>
            <c:strRef>
              <c:f>'5. Tangens'!$B$1</c:f>
              <c:strCache>
                <c:ptCount val="1"/>
                <c:pt idx="0">
                  <c:v>y = tg(x)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xVal>
            <c:numRef>
              <c:f>'5. Tangens'!$A$2:$A$74</c:f>
              <c:numCache>
                <c:formatCode>General</c:formatCode>
                <c:ptCount val="7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</c:numCache>
            </c:numRef>
          </c:xVal>
          <c:yVal>
            <c:numRef>
              <c:f>'5. Tangens'!$B$2:$B$74</c:f>
              <c:numCache>
                <c:formatCode>General</c:formatCode>
                <c:ptCount val="73"/>
                <c:pt idx="0">
                  <c:v>0</c:v>
                </c:pt>
                <c:pt idx="1">
                  <c:v>-3.38051500624659</c:v>
                </c:pt>
                <c:pt idx="2">
                  <c:v>0.648360827459087</c:v>
                </c:pt>
                <c:pt idx="3">
                  <c:v>-0.855993400908519</c:v>
                </c:pt>
                <c:pt idx="4">
                  <c:v>2.23716094422474</c:v>
                </c:pt>
                <c:pt idx="5">
                  <c:v>-0.133526407021536</c:v>
                </c:pt>
                <c:pt idx="6">
                  <c:v>-6.40533119664628</c:v>
                </c:pt>
                <c:pt idx="7">
                  <c:v>0.473814720414451</c:v>
                </c:pt>
                <c:pt idx="8">
                  <c:v>-1.1172149309239</c:v>
                </c:pt>
                <c:pt idx="9">
                  <c:v>1.61977519054386</c:v>
                </c:pt>
                <c:pt idx="10">
                  <c:v>-0.271900611997631</c:v>
                </c:pt>
                <c:pt idx="11">
                  <c:v>-45.1830879105211</c:v>
                </c:pt>
                <c:pt idx="12">
                  <c:v>0.320040389379563</c:v>
                </c:pt>
                <c:pt idx="13">
                  <c:v>-1.47003825766317</c:v>
                </c:pt>
                <c:pt idx="14">
                  <c:v>1.22195991813694</c:v>
                </c:pt>
                <c:pt idx="15">
                  <c:v>-0.420700950621124</c:v>
                </c:pt>
                <c:pt idx="16">
                  <c:v>9.00365494560708</c:v>
                </c:pt>
                <c:pt idx="17">
                  <c:v>0.178870172438767</c:v>
                </c:pt>
                <c:pt idx="18">
                  <c:v>-1.99520041220824</c:v>
                </c:pt>
                <c:pt idx="19">
                  <c:v>0.935752472063239</c:v>
                </c:pt>
                <c:pt idx="20">
                  <c:v>-0.587213915156929</c:v>
                </c:pt>
                <c:pt idx="21">
                  <c:v>4.02780176388442</c:v>
                </c:pt>
                <c:pt idx="22">
                  <c:v>0.0442860423881244</c:v>
                </c:pt>
                <c:pt idx="23">
                  <c:v>-2.90180135427931</c:v>
                </c:pt>
                <c:pt idx="24">
                  <c:v>0.713123009785909</c:v>
                </c:pt>
                <c:pt idx="25">
                  <c:v>-0.782060568506901</c:v>
                </c:pt>
                <c:pt idx="26">
                  <c:v>2.53233842746932</c:v>
                </c:pt>
                <c:pt idx="27">
                  <c:v>-0.0887157567700605</c:v>
                </c:pt>
                <c:pt idx="28">
                  <c:v>-4.95537105769678</c:v>
                </c:pt>
                <c:pt idx="29">
                  <c:v>0.529205277601419</c:v>
                </c:pt>
                <c:pt idx="30">
                  <c:v>-1.02234623543659</c:v>
                </c:pt>
                <c:pt idx="31">
                  <c:v>1.79265449347981</c:v>
                </c:pt>
                <c:pt idx="32">
                  <c:v>-0.22490638145172</c:v>
                </c:pt>
                <c:pt idx="33">
                  <c:v>-15.0413530465389</c:v>
                </c:pt>
                <c:pt idx="34">
                  <c:v>0.369564386915556</c:v>
                </c:pt>
                <c:pt idx="35">
                  <c:v>-1.33860604795524</c:v>
                </c:pt>
                <c:pt idx="36">
                  <c:v>1.33869021035115</c:v>
                </c:pt>
                <c:pt idx="37">
                  <c:v>-0.369530125893306</c:v>
                </c:pt>
                <c:pt idx="38">
                  <c:v>15.0482062260887</c:v>
                </c:pt>
                <c:pt idx="39">
                  <c:v>0.224938050808022</c:v>
                </c:pt>
                <c:pt idx="40">
                  <c:v>-1.79252748379038</c:v>
                </c:pt>
                <c:pt idx="41">
                  <c:v>1.0224078883217</c:v>
                </c:pt>
                <c:pt idx="42">
                  <c:v>-0.529166691689464</c:v>
                </c:pt>
                <c:pt idx="43">
                  <c:v>4.95614153290906</c:v>
                </c:pt>
                <c:pt idx="44">
                  <c:v>0.0887461384553789</c:v>
                </c:pt>
                <c:pt idx="45">
                  <c:v>-2.53211499233434</c:v>
                </c:pt>
                <c:pt idx="46">
                  <c:v>0.782109150856801</c:v>
                </c:pt>
                <c:pt idx="47">
                  <c:v>-0.713077536667139</c:v>
                </c:pt>
                <c:pt idx="48">
                  <c:v>2.90208535252835</c:v>
                </c:pt>
                <c:pt idx="49">
                  <c:v>-0.0442558389543519</c:v>
                </c:pt>
                <c:pt idx="50">
                  <c:v>-4.02728264507686</c:v>
                </c:pt>
                <c:pt idx="51">
                  <c:v>0.58725445460932</c:v>
                </c:pt>
                <c:pt idx="52">
                  <c:v>-0.935695933923473</c:v>
                </c:pt>
                <c:pt idx="53">
                  <c:v>1.99535056497843</c:v>
                </c:pt>
                <c:pt idx="54">
                  <c:v>-0.178839063798452</c:v>
                </c:pt>
                <c:pt idx="55">
                  <c:v>-9.00118179629616</c:v>
                </c:pt>
                <c:pt idx="56">
                  <c:v>0.420736430652143</c:v>
                </c:pt>
                <c:pt idx="57">
                  <c:v>-1.22188476542415</c:v>
                </c:pt>
                <c:pt idx="58">
                  <c:v>1.47013354856302</c:v>
                </c:pt>
                <c:pt idx="59">
                  <c:v>-0.320007157785746</c:v>
                </c:pt>
                <c:pt idx="60">
                  <c:v>45.2447420708194</c:v>
                </c:pt>
                <c:pt idx="61">
                  <c:v>0.271932985186664</c:v>
                </c:pt>
                <c:pt idx="62">
                  <c:v>-1.61966596263788</c:v>
                </c:pt>
                <c:pt idx="63">
                  <c:v>1.11728270281316</c:v>
                </c:pt>
                <c:pt idx="64">
                  <c:v>-0.473777809169208</c:v>
                </c:pt>
                <c:pt idx="65">
                  <c:v>6.40659835626962</c:v>
                </c:pt>
                <c:pt idx="66">
                  <c:v>0.133557088951167</c:v>
                </c:pt>
                <c:pt idx="67">
                  <c:v>-2.23697994293236</c:v>
                </c:pt>
                <c:pt idx="68">
                  <c:v>0.856045634122039</c:v>
                </c:pt>
                <c:pt idx="69">
                  <c:v>-0.648318012107555</c:v>
                </c:pt>
                <c:pt idx="70">
                  <c:v>3.38088967488448</c:v>
                </c:pt>
                <c:pt idx="71">
                  <c:v>3.01443533731843E-005</c:v>
                </c:pt>
                <c:pt idx="72">
                  <c:v>-3.38014041396096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'5. Tangens'!$C$1</c:f>
              <c:strCache>
                <c:ptCount val="1"/>
                <c:pt idx="0">
                  <c:v>y = tg(x + pi()/2)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xVal>
            <c:numRef>
              <c:f>'5. Tangens'!$A$2:$A$74</c:f>
              <c:numCache>
                <c:formatCode>General</c:formatCode>
                <c:ptCount val="7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</c:numCache>
            </c:numRef>
          </c:xVal>
          <c:yVal>
            <c:numRef>
              <c:f>'5. Tangens'!$C$2:$C$74</c:f>
              <c:numCache>
                <c:formatCode>General</c:formatCode>
                <c:ptCount val="73"/>
                <c:pt idx="0">
                  <c:v>16331239353195400</c:v>
                </c:pt>
                <c:pt idx="1">
                  <c:v>0.295812915532745</c:v>
                </c:pt>
                <c:pt idx="2">
                  <c:v>-1.54235104535692</c:v>
                </c:pt>
                <c:pt idx="3">
                  <c:v>1.16823330523184</c:v>
                </c:pt>
                <c:pt idx="4">
                  <c:v>-0.446995108948915</c:v>
                </c:pt>
                <c:pt idx="5">
                  <c:v>7.48915530872277</c:v>
                </c:pt>
                <c:pt idx="6">
                  <c:v>0.156119952161661</c:v>
                </c:pt>
                <c:pt idx="7">
                  <c:v>-2.11052961614465</c:v>
                </c:pt>
                <c:pt idx="8">
                  <c:v>0.895082917637916</c:v>
                </c:pt>
                <c:pt idx="9">
                  <c:v>-0.617369623783553</c:v>
                </c:pt>
                <c:pt idx="10">
                  <c:v>3.67781445085059</c:v>
                </c:pt>
                <c:pt idx="11">
                  <c:v>0.0221321748079821</c:v>
                </c:pt>
                <c:pt idx="12">
                  <c:v>-3.12460562224229</c:v>
                </c:pt>
                <c:pt idx="13">
                  <c:v>0.680254404800067</c:v>
                </c:pt>
                <c:pt idx="14">
                  <c:v>-0.818357447865113</c:v>
                </c:pt>
                <c:pt idx="15">
                  <c:v>2.37698535865817</c:v>
                </c:pt>
                <c:pt idx="16">
                  <c:v>-0.111066006642997</c:v>
                </c:pt>
                <c:pt idx="17">
                  <c:v>-5.59064703950214</c:v>
                </c:pt>
                <c:pt idx="18">
                  <c:v>0.501202783380146</c:v>
                </c:pt>
                <c:pt idx="19">
                  <c:v>-1.06865867828819</c:v>
                </c:pt>
                <c:pt idx="20">
                  <c:v>1.70295691942645</c:v>
                </c:pt>
                <c:pt idx="21">
                  <c:v>-0.248274383552487</c:v>
                </c:pt>
                <c:pt idx="22">
                  <c:v>-22.5804778678593</c:v>
                </c:pt>
                <c:pt idx="23">
                  <c:v>0.344613527223452</c:v>
                </c:pt>
                <c:pt idx="24">
                  <c:v>-1.40228261643139</c:v>
                </c:pt>
                <c:pt idx="25">
                  <c:v>1.27867334100372</c:v>
                </c:pt>
                <c:pt idx="26">
                  <c:v>-0.394891926431555</c:v>
                </c:pt>
                <c:pt idx="27">
                  <c:v>11.2719547959424</c:v>
                </c:pt>
                <c:pt idx="28">
                  <c:v>0.201801235135914</c:v>
                </c:pt>
                <c:pt idx="29">
                  <c:v>-1.88962590194194</c:v>
                </c:pt>
                <c:pt idx="30">
                  <c:v>0.978142204018528</c:v>
                </c:pt>
                <c:pt idx="31">
                  <c:v>-0.557831976901955</c:v>
                </c:pt>
                <c:pt idx="32">
                  <c:v>4.44629446948193</c:v>
                </c:pt>
                <c:pt idx="33">
                  <c:v>0.0664833806444045</c:v>
                </c:pt>
                <c:pt idx="34">
                  <c:v>-2.70588843353164</c:v>
                </c:pt>
                <c:pt idx="35">
                  <c:v>0.747045780592072</c:v>
                </c:pt>
                <c:pt idx="36">
                  <c:v>-0.746998814414053</c:v>
                </c:pt>
                <c:pt idx="37">
                  <c:v>2.70613931024587</c:v>
                </c:pt>
                <c:pt idx="38">
                  <c:v>-0.0664531031124766</c:v>
                </c:pt>
                <c:pt idx="39">
                  <c:v>-4.44566846919775</c:v>
                </c:pt>
                <c:pt idx="40">
                  <c:v>0.557871502134763</c:v>
                </c:pt>
                <c:pt idx="41">
                  <c:v>-0.97808322042735</c:v>
                </c:pt>
                <c:pt idx="42">
                  <c:v>1.88976369016594</c:v>
                </c:pt>
                <c:pt idx="43">
                  <c:v>-0.201769863382628</c:v>
                </c:pt>
                <c:pt idx="44">
                  <c:v>-11.2680959127349</c:v>
                </c:pt>
                <c:pt idx="45">
                  <c:v>0.394926771899127</c:v>
                </c:pt>
                <c:pt idx="46">
                  <c:v>-1.27859391352794</c:v>
                </c:pt>
                <c:pt idx="47">
                  <c:v>1.40237204031682</c:v>
                </c:pt>
                <c:pt idx="48">
                  <c:v>-0.344579803322738</c:v>
                </c:pt>
                <c:pt idx="49">
                  <c:v>22.5958884438127</c:v>
                </c:pt>
                <c:pt idx="50">
                  <c:v>0.248306386248411</c:v>
                </c:pt>
                <c:pt idx="51">
                  <c:v>-1.70283936060609</c:v>
                </c:pt>
                <c:pt idx="52">
                  <c:v>1.06872325051888</c:v>
                </c:pt>
                <c:pt idx="53">
                  <c:v>-0.501165067207539</c:v>
                </c:pt>
                <c:pt idx="54">
                  <c:v>5.59161951958632</c:v>
                </c:pt>
                <c:pt idx="55">
                  <c:v>0.111096522948957</c:v>
                </c:pt>
                <c:pt idx="56">
                  <c:v>-2.37678491128047</c:v>
                </c:pt>
                <c:pt idx="57">
                  <c:v>0.818407781402254</c:v>
                </c:pt>
                <c:pt idx="58">
                  <c:v>-0.680210312170254</c:v>
                </c:pt>
                <c:pt idx="59">
                  <c:v>3.12493010131201</c:v>
                </c:pt>
                <c:pt idx="60">
                  <c:v>-0.0221020157090296</c:v>
                </c:pt>
                <c:pt idx="61">
                  <c:v>-3.67737661289449</c:v>
                </c:pt>
                <c:pt idx="62">
                  <c:v>0.617411258288922</c:v>
                </c:pt>
                <c:pt idx="63">
                  <c:v>-0.895028623894516</c:v>
                </c:pt>
                <c:pt idx="64">
                  <c:v>2.11069404401513</c:v>
                </c:pt>
                <c:pt idx="65">
                  <c:v>-0.15608907323204</c:v>
                </c:pt>
                <c:pt idx="66">
                  <c:v>-7.48743483294755</c:v>
                </c:pt>
                <c:pt idx="67">
                  <c:v>0.447031276770917</c:v>
                </c:pt>
                <c:pt idx="68">
                  <c:v>-1.16816202330803</c:v>
                </c:pt>
                <c:pt idx="69">
                  <c:v>1.54245290324294</c:v>
                </c:pt>
                <c:pt idx="70">
                  <c:v>-0.295780133681585</c:v>
                </c:pt>
                <c:pt idx="71">
                  <c:v>-33173.7087805106</c:v>
                </c:pt>
                <c:pt idx="72">
                  <c:v>0.295845697968549</c:v>
                </c:pt>
              </c:numCache>
            </c:numRef>
          </c:yVal>
          <c:smooth val="0"/>
        </c:ser>
        <c:axId val="76042542"/>
        <c:axId val="13663976"/>
      </c:scatterChart>
      <c:valAx>
        <c:axId val="76042542"/>
        <c:scaling>
          <c:orientation val="minMax"/>
          <c:max val="36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13663976"/>
        <c:crossesAt val="0"/>
        <c:crossBetween val="midCat"/>
        <c:majorUnit val="90"/>
      </c:valAx>
      <c:valAx>
        <c:axId val="13663976"/>
        <c:scaling>
          <c:orientation val="minMax"/>
          <c:max val="15"/>
          <c:min val="-15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76042542"/>
        <c:crossesAt val="0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latin typeface="arial"/>
            </a:defRPr>
          </a:pPr>
        </a:p>
      </c:tx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chart" Target="../charts/chart2.xml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image" Target="../media/image5.png"/><Relationship Id="rId2" Type="http://schemas.openxmlformats.org/officeDocument/2006/relationships/image" Target="../media/image6.wmf"/><Relationship Id="rId3" Type="http://schemas.openxmlformats.org/officeDocument/2006/relationships/chart" Target="../charts/chart3.xml"/>
</Relationships>
</file>

<file path=xl/drawings/_rels/drawing4.xml.rels><?xml version="1.0" encoding="UTF-8"?>
<Relationships xmlns="http://schemas.openxmlformats.org/package/2006/relationships"><Relationship Id="rId1" Type="http://schemas.openxmlformats.org/officeDocument/2006/relationships/image" Target="../media/image7.png"/><Relationship Id="rId2" Type="http://schemas.openxmlformats.org/officeDocument/2006/relationships/chart" Target="../charts/chart4.xml"/>
</Relationships>
</file>

<file path=xl/drawings/_rels/drawing5.xml.rels><?xml version="1.0" encoding="UTF-8"?>
<Relationships xmlns="http://schemas.openxmlformats.org/package/2006/relationships"><Relationship Id="rId1" Type="http://schemas.openxmlformats.org/officeDocument/2006/relationships/image" Target="../media/image8.png"/><Relationship Id="rId2" Type="http://schemas.openxmlformats.org/officeDocument/2006/relationships/image" Target="../media/image9.wmf"/><Relationship Id="rId3" Type="http://schemas.openxmlformats.org/officeDocument/2006/relationships/image" Target="../media/image10.wmf"/><Relationship Id="rId4" Type="http://schemas.openxmlformats.org/officeDocument/2006/relationships/chart" Target="../charts/chart5.xml"/>
</Relationships>
</file>

<file path=xl/drawings/_rels/drawing6.xml.rels><?xml version="1.0" encoding="UTF-8"?>
<Relationships xmlns="http://schemas.openxmlformats.org/package/2006/relationships"><Relationship Id="rId1" Type="http://schemas.openxmlformats.org/officeDocument/2006/relationships/image" Target="../media/image11.png"/>
</Relationships>
</file>

<file path=xl/drawings/_rels/drawing7.xml.rels><?xml version="1.0" encoding="UTF-8"?>
<Relationships xmlns="http://schemas.openxmlformats.org/package/2006/relationships"><Relationship Id="rId1" Type="http://schemas.openxmlformats.org/officeDocument/2006/relationships/image" Target="../media/image12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0</xdr:col>
      <xdr:colOff>95400</xdr:colOff>
      <xdr:row>4</xdr:row>
      <xdr:rowOff>0</xdr:rowOff>
    </xdr:from>
    <xdr:to>
      <xdr:col>7</xdr:col>
      <xdr:colOff>257040</xdr:colOff>
      <xdr:row>10</xdr:row>
      <xdr:rowOff>47160</xdr:rowOff>
    </xdr:to>
    <xdr:sp>
      <xdr:nvSpPr>
        <xdr:cNvPr id="0" name="CustomShape 1"/>
        <xdr:cNvSpPr/>
      </xdr:nvSpPr>
      <xdr:spPr>
        <a:xfrm>
          <a:off x="95400" y="761760"/>
          <a:ext cx="4365720" cy="1190160"/>
        </a:xfrm>
        <a:prstGeom prst="rect">
          <a:avLst/>
        </a:prstGeom>
        <a:solidFill>
          <a:schemeClr val="lt1"/>
        </a:solidFill>
        <a:ln w="9360">
          <a:solidFill>
            <a:schemeClr val="lt1">
              <a:shade val="50000"/>
            </a:schemeClr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>
          <a:noAutofit/>
        </a:bodyPr>
        <a:p>
          <a:pPr>
            <a:lnSpc>
              <a:spcPct val="100000"/>
            </a:lnSpc>
          </a:pPr>
          <a:r>
            <a:rPr b="1" lang="en-US" sz="1100" spc="-1" strike="noStrike">
              <a:solidFill>
                <a:srgbClr val="1f497d"/>
              </a:solidFill>
              <a:latin typeface="Calibri"/>
            </a:rPr>
            <a:t>TREŚĆ ZADANIA:</a:t>
          </a:r>
          <a:endParaRPr b="0" lang="en-US" sz="1100" spc="-1" strike="noStrike">
            <a:latin typeface="Tinos"/>
          </a:endParaRPr>
        </a:p>
        <a:p>
          <a:pPr>
            <a:lnSpc>
              <a:spcPct val="100000"/>
            </a:lnSpc>
          </a:pPr>
          <a:r>
            <a:rPr b="0" i="1" lang="en-US" sz="1100" spc="-1" strike="noStrike">
              <a:solidFill>
                <a:srgbClr val="ff0000"/>
              </a:solidFill>
              <a:latin typeface="Calibri"/>
            </a:rPr>
            <a:t>W komórkach A1:M2 przedstawiono średni kurs dolara (USD) w poszczególnych miesiącach pewnego roku.</a:t>
          </a:r>
          <a:endParaRPr b="0" lang="en-US" sz="1100" spc="-1" strike="noStrike">
            <a:latin typeface="Tinos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nos"/>
          </a:endParaRPr>
        </a:p>
        <a:p>
          <a:pPr>
            <a:lnSpc>
              <a:spcPct val="100000"/>
            </a:lnSpc>
          </a:pPr>
          <a:r>
            <a:rPr b="0" i="1" lang="en-US" sz="1100" spc="-1" strike="noStrike">
              <a:solidFill>
                <a:srgbClr val="ff0000"/>
              </a:solidFill>
              <a:latin typeface="Calibri"/>
            </a:rPr>
            <a:t>Na podstawie tych danych stwórz wykres jak najbardziej zbliżony do wzoru przedstawionego na rysunku poniżej.</a:t>
          </a:r>
          <a:endParaRPr b="0" lang="en-US" sz="1100" spc="-1" strike="noStrike">
            <a:latin typeface="Tinos"/>
          </a:endParaRPr>
        </a:p>
      </xdr:txBody>
    </xdr:sp>
    <xdr:clientData/>
  </xdr:twoCellAnchor>
  <xdr:twoCellAnchor editAs="oneCell">
    <xdr:from>
      <xdr:col>0</xdr:col>
      <xdr:colOff>76320</xdr:colOff>
      <xdr:row>10</xdr:row>
      <xdr:rowOff>76320</xdr:rowOff>
    </xdr:from>
    <xdr:to>
      <xdr:col>9</xdr:col>
      <xdr:colOff>27720</xdr:colOff>
      <xdr:row>24</xdr:row>
      <xdr:rowOff>161280</xdr:rowOff>
    </xdr:to>
    <xdr:pic>
      <xdr:nvPicPr>
        <xdr:cNvPr id="1" name="Obraz 3" descr=""/>
        <xdr:cNvPicPr/>
      </xdr:nvPicPr>
      <xdr:blipFill>
        <a:blip r:embed="rId1"/>
        <a:stretch/>
      </xdr:blipFill>
      <xdr:spPr>
        <a:xfrm>
          <a:off x="76320" y="1981080"/>
          <a:ext cx="5282640" cy="27522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9</xdr:col>
      <xdr:colOff>371520</xdr:colOff>
      <xdr:row>10</xdr:row>
      <xdr:rowOff>76680</xdr:rowOff>
    </xdr:from>
    <xdr:to>
      <xdr:col>17</xdr:col>
      <xdr:colOff>534240</xdr:colOff>
      <xdr:row>24</xdr:row>
      <xdr:rowOff>151560</xdr:rowOff>
    </xdr:to>
    <xdr:graphicFrame>
      <xdr:nvGraphicFramePr>
        <xdr:cNvPr id="2" name=""/>
        <xdr:cNvGraphicFramePr/>
      </xdr:nvGraphicFramePr>
      <xdr:xfrm>
        <a:off x="5702760" y="1981440"/>
        <a:ext cx="5759640" cy="27421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0</xdr:col>
      <xdr:colOff>38160</xdr:colOff>
      <xdr:row>9</xdr:row>
      <xdr:rowOff>123840</xdr:rowOff>
    </xdr:from>
    <xdr:to>
      <xdr:col>8</xdr:col>
      <xdr:colOff>114120</xdr:colOff>
      <xdr:row>15</xdr:row>
      <xdr:rowOff>161640</xdr:rowOff>
    </xdr:to>
    <xdr:sp>
      <xdr:nvSpPr>
        <xdr:cNvPr id="3" name="CustomShape 1"/>
        <xdr:cNvSpPr/>
      </xdr:nvSpPr>
      <xdr:spPr>
        <a:xfrm>
          <a:off x="38160" y="1838160"/>
          <a:ext cx="5955840" cy="1180800"/>
        </a:xfrm>
        <a:prstGeom prst="rect">
          <a:avLst/>
        </a:prstGeom>
        <a:solidFill>
          <a:schemeClr val="lt1"/>
        </a:solidFill>
        <a:ln w="9360">
          <a:solidFill>
            <a:schemeClr val="lt1">
              <a:shade val="50000"/>
            </a:schemeClr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>
          <a:noAutofit/>
        </a:bodyPr>
        <a:p>
          <a:pPr>
            <a:lnSpc>
              <a:spcPct val="100000"/>
            </a:lnSpc>
          </a:pPr>
          <a:r>
            <a:rPr b="1" lang="en-US" sz="1100" spc="-1" strike="noStrike">
              <a:solidFill>
                <a:srgbClr val="1f497d"/>
              </a:solidFill>
              <a:latin typeface="Calibri"/>
            </a:rPr>
            <a:t>TREŚĆ ZADANIA:</a:t>
          </a:r>
          <a:endParaRPr b="0" lang="en-US" sz="1100" spc="-1" strike="noStrike">
            <a:latin typeface="Tinos"/>
          </a:endParaRPr>
        </a:p>
        <a:p>
          <a:pPr>
            <a:lnSpc>
              <a:spcPct val="100000"/>
            </a:lnSpc>
          </a:pPr>
          <a:r>
            <a:rPr b="0" i="1" lang="en-US" sz="1100" spc="-1" strike="noStrike">
              <a:solidFill>
                <a:srgbClr val="ff0000"/>
              </a:solidFill>
              <a:latin typeface="Calibri"/>
            </a:rPr>
            <a:t>W komórkach B3:C9 przedstawiono  rozmiary różnych obiektów kosmicznych.</a:t>
          </a:r>
          <a:endParaRPr b="0" lang="en-US" sz="1100" spc="-1" strike="noStrike">
            <a:latin typeface="Tinos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nos"/>
          </a:endParaRPr>
        </a:p>
        <a:p>
          <a:pPr>
            <a:lnSpc>
              <a:spcPct val="100000"/>
            </a:lnSpc>
          </a:pPr>
          <a:r>
            <a:rPr b="0" i="1" lang="en-US" sz="1100" spc="-1" strike="noStrike">
              <a:solidFill>
                <a:srgbClr val="ff0000"/>
              </a:solidFill>
              <a:latin typeface="Calibri"/>
            </a:rPr>
            <a:t>Na podstawie tych danych stwórz wykres jak najbardziej zbliżony do wzoru przedstawionego na rysunku poniżej.</a:t>
          </a:r>
          <a:endParaRPr b="0" lang="en-US" sz="1100" spc="-1" strike="noStrike">
            <a:latin typeface="Tinos"/>
          </a:endParaRPr>
        </a:p>
        <a:p>
          <a:pPr>
            <a:lnSpc>
              <a:spcPct val="100000"/>
            </a:lnSpc>
          </a:pPr>
          <a:r>
            <a:rPr b="0" i="1" lang="en-US" sz="1100" spc="-1" strike="noStrike">
              <a:solidFill>
                <a:srgbClr val="ff0000"/>
              </a:solidFill>
              <a:latin typeface="Calibri"/>
            </a:rPr>
            <a:t>Wypełnienie tylnej ściany powstało z klipartu (słowo kluczowe : </a:t>
          </a:r>
          <a:r>
            <a:rPr b="0" i="1" lang="en-US" sz="1100" spc="-1" strike="noStrike">
              <a:solidFill>
                <a:srgbClr val="595959"/>
              </a:solidFill>
              <a:latin typeface="Calibri"/>
            </a:rPr>
            <a:t>Jowisz</a:t>
          </a:r>
          <a:r>
            <a:rPr b="0" i="1" lang="en-US" sz="1100" spc="-1" strike="noStrike">
              <a:solidFill>
                <a:srgbClr val="ff0000"/>
              </a:solidFill>
              <a:latin typeface="Calibri"/>
            </a:rPr>
            <a:t>).</a:t>
          </a:r>
          <a:endParaRPr b="0" lang="en-US" sz="1100" spc="-1" strike="noStrike">
            <a:latin typeface="Tinos"/>
          </a:endParaRPr>
        </a:p>
      </xdr:txBody>
    </xdr:sp>
    <xdr:clientData/>
  </xdr:twoCellAnchor>
  <xdr:twoCellAnchor editAs="oneCell">
    <xdr:from>
      <xdr:col>0</xdr:col>
      <xdr:colOff>57240</xdr:colOff>
      <xdr:row>16</xdr:row>
      <xdr:rowOff>28440</xdr:rowOff>
    </xdr:from>
    <xdr:to>
      <xdr:col>6</xdr:col>
      <xdr:colOff>580320</xdr:colOff>
      <xdr:row>30</xdr:row>
      <xdr:rowOff>113400</xdr:rowOff>
    </xdr:to>
    <xdr:pic>
      <xdr:nvPicPr>
        <xdr:cNvPr id="4" name="Obraz 5" descr=""/>
        <xdr:cNvPicPr/>
      </xdr:nvPicPr>
      <xdr:blipFill>
        <a:blip r:embed="rId1"/>
        <a:stretch/>
      </xdr:blipFill>
      <xdr:spPr>
        <a:xfrm>
          <a:off x="57240" y="3076200"/>
          <a:ext cx="5069520" cy="27522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6</xdr:col>
      <xdr:colOff>618480</xdr:colOff>
      <xdr:row>16</xdr:row>
      <xdr:rowOff>70200</xdr:rowOff>
    </xdr:from>
    <xdr:to>
      <xdr:col>15</xdr:col>
      <xdr:colOff>29520</xdr:colOff>
      <xdr:row>30</xdr:row>
      <xdr:rowOff>95400</xdr:rowOff>
    </xdr:to>
    <xdr:graphicFrame>
      <xdr:nvGraphicFramePr>
        <xdr:cNvPr id="5" name=""/>
        <xdr:cNvGraphicFramePr/>
      </xdr:nvGraphicFramePr>
      <xdr:xfrm>
        <a:off x="5164920" y="3117960"/>
        <a:ext cx="5411880" cy="26924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104760</xdr:colOff>
      <xdr:row>0</xdr:row>
      <xdr:rowOff>114480</xdr:rowOff>
    </xdr:from>
    <xdr:to>
      <xdr:col>11</xdr:col>
      <xdr:colOff>581040</xdr:colOff>
      <xdr:row>6</xdr:row>
      <xdr:rowOff>152280</xdr:rowOff>
    </xdr:to>
    <xdr:sp>
      <xdr:nvSpPr>
        <xdr:cNvPr id="6" name="CustomShape 1"/>
        <xdr:cNvSpPr/>
      </xdr:nvSpPr>
      <xdr:spPr>
        <a:xfrm>
          <a:off x="1438200" y="114480"/>
          <a:ext cx="6476760" cy="1104480"/>
        </a:xfrm>
        <a:prstGeom prst="rect">
          <a:avLst/>
        </a:prstGeom>
        <a:solidFill>
          <a:schemeClr val="lt1"/>
        </a:solidFill>
        <a:ln w="9360">
          <a:solidFill>
            <a:schemeClr val="lt1">
              <a:shade val="50000"/>
            </a:schemeClr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>
          <a:noAutofit/>
        </a:bodyPr>
        <a:p>
          <a:pPr>
            <a:lnSpc>
              <a:spcPct val="100000"/>
            </a:lnSpc>
          </a:pPr>
          <a:r>
            <a:rPr b="1" lang="en-US" sz="1100" spc="-1" strike="noStrike">
              <a:solidFill>
                <a:srgbClr val="1f497d"/>
              </a:solidFill>
              <a:latin typeface="Calibri"/>
            </a:rPr>
            <a:t>TREŚĆ ZADANIA:</a:t>
          </a:r>
          <a:endParaRPr b="0" lang="en-US" sz="1100" spc="-1" strike="noStrike">
            <a:latin typeface="Tinos"/>
          </a:endParaRPr>
        </a:p>
        <a:p>
          <a:pPr>
            <a:lnSpc>
              <a:spcPct val="100000"/>
            </a:lnSpc>
          </a:pPr>
          <a:r>
            <a:rPr b="0" i="1" lang="en-US" sz="1100" spc="-1" strike="noStrike">
              <a:solidFill>
                <a:srgbClr val="ff0000"/>
              </a:solidFill>
              <a:latin typeface="Calibri"/>
            </a:rPr>
            <a:t>W kolumnie A podano argumenty (liczby od 0 do 4). W kolumnie B oblicz wartość funkcji </a:t>
          </a:r>
          <a:endParaRPr b="0" lang="en-US" sz="1100" spc="-1" strike="noStrike">
            <a:latin typeface="Tinos"/>
          </a:endParaRPr>
        </a:p>
        <a:p>
          <a:pPr>
            <a:lnSpc>
              <a:spcPct val="100000"/>
            </a:lnSpc>
          </a:pPr>
          <a:r>
            <a:rPr b="0" i="1" lang="en-US" sz="1100" spc="-1" strike="noStrike">
              <a:solidFill>
                <a:srgbClr val="ff0000"/>
              </a:solidFill>
              <a:latin typeface="Calibri"/>
            </a:rPr>
            <a:t>dla tych argumentów, a następnie stwórz wykres jak najbardziej zbliżony do wzoru </a:t>
          </a:r>
          <a:endParaRPr b="0" lang="en-US" sz="1100" spc="-1" strike="noStrike">
            <a:latin typeface="Tinos"/>
          </a:endParaRPr>
        </a:p>
        <a:p>
          <a:pPr>
            <a:lnSpc>
              <a:spcPct val="100000"/>
            </a:lnSpc>
          </a:pPr>
          <a:r>
            <a:rPr b="0" i="1" lang="en-US" sz="1100" spc="-1" strike="noStrike">
              <a:solidFill>
                <a:srgbClr val="ff0000"/>
              </a:solidFill>
              <a:latin typeface="Calibri"/>
            </a:rPr>
            <a:t>przedsatwionego na rysunku poniżej.</a:t>
          </a:r>
          <a:endParaRPr b="0" lang="en-US" sz="1100" spc="-1" strike="noStrike">
            <a:latin typeface="Tinos"/>
          </a:endParaRPr>
        </a:p>
        <a:p>
          <a:pPr>
            <a:lnSpc>
              <a:spcPct val="100000"/>
            </a:lnSpc>
          </a:pPr>
          <a:r>
            <a:rPr b="0" i="1" lang="en-US" sz="1100" spc="-1" strike="noStrike">
              <a:solidFill>
                <a:srgbClr val="ff0000"/>
              </a:solidFill>
              <a:latin typeface="Calibri"/>
            </a:rPr>
            <a:t>Funkcja zwracająca pierwiastek kwadratowy w Excelu nazywa się </a:t>
          </a:r>
          <a:r>
            <a:rPr b="0" i="1" lang="en-US" sz="1100" spc="-1" strike="noStrike">
              <a:solidFill>
                <a:srgbClr val="002060"/>
              </a:solidFill>
              <a:latin typeface="Calibri"/>
            </a:rPr>
            <a:t>PIERWIASTEK(liczba)</a:t>
          </a:r>
          <a:r>
            <a:rPr b="0" i="1" lang="en-US" sz="1100" spc="-1" strike="noStrike">
              <a:solidFill>
                <a:srgbClr val="ff0000"/>
              </a:solidFill>
              <a:latin typeface="Calibri"/>
            </a:rPr>
            <a:t>.</a:t>
          </a:r>
          <a:endParaRPr b="0" lang="en-US" sz="1100" spc="-1" strike="noStrike">
            <a:latin typeface="Tinos"/>
          </a:endParaRPr>
        </a:p>
      </xdr:txBody>
    </xdr:sp>
    <xdr:clientData/>
  </xdr:twoCellAnchor>
  <xdr:twoCellAnchor editAs="oneCell">
    <xdr:from>
      <xdr:col>2</xdr:col>
      <xdr:colOff>142920</xdr:colOff>
      <xdr:row>7</xdr:row>
      <xdr:rowOff>95400</xdr:rowOff>
    </xdr:from>
    <xdr:to>
      <xdr:col>9</xdr:col>
      <xdr:colOff>456480</xdr:colOff>
      <xdr:row>23</xdr:row>
      <xdr:rowOff>43200</xdr:rowOff>
    </xdr:to>
    <xdr:pic>
      <xdr:nvPicPr>
        <xdr:cNvPr id="7" name="Obraz 3" descr=""/>
        <xdr:cNvPicPr/>
      </xdr:nvPicPr>
      <xdr:blipFill>
        <a:blip r:embed="rId1"/>
        <a:stretch/>
      </xdr:blipFill>
      <xdr:spPr>
        <a:xfrm>
          <a:off x="1476360" y="1337400"/>
          <a:ext cx="4980600" cy="2751840"/>
        </a:xfrm>
        <a:prstGeom prst="rect">
          <a:avLst/>
        </a:prstGeom>
        <a:ln>
          <a:noFill/>
        </a:ln>
      </xdr:spPr>
    </xdr:pic>
    <xdr:clientData/>
  </xdr:twoCellAnchor>
  <xdr:twoCellAnchor editAs="absolute">
    <xdr:from>
      <xdr:col>10</xdr:col>
      <xdr:colOff>390600</xdr:colOff>
      <xdr:row>1</xdr:row>
      <xdr:rowOff>19080</xdr:rowOff>
    </xdr:from>
    <xdr:to>
      <xdr:col>11</xdr:col>
      <xdr:colOff>495360</xdr:colOff>
      <xdr:row>3</xdr:row>
      <xdr:rowOff>87840</xdr:rowOff>
    </xdr:to>
    <xdr:pic>
      <xdr:nvPicPr>
        <xdr:cNvPr id="8" name="Picture 1" descr=""/>
        <xdr:cNvPicPr/>
      </xdr:nvPicPr>
      <xdr:blipFill>
        <a:blip r:embed="rId2"/>
        <a:stretch/>
      </xdr:blipFill>
      <xdr:spPr>
        <a:xfrm>
          <a:off x="7057800" y="209520"/>
          <a:ext cx="771480" cy="4190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9</xdr:col>
      <xdr:colOff>615600</xdr:colOff>
      <xdr:row>8</xdr:row>
      <xdr:rowOff>27360</xdr:rowOff>
    </xdr:from>
    <xdr:to>
      <xdr:col>17</xdr:col>
      <xdr:colOff>206640</xdr:colOff>
      <xdr:row>22</xdr:row>
      <xdr:rowOff>120960</xdr:rowOff>
    </xdr:to>
    <xdr:graphicFrame>
      <xdr:nvGraphicFramePr>
        <xdr:cNvPr id="9" name=""/>
        <xdr:cNvGraphicFramePr/>
      </xdr:nvGraphicFramePr>
      <xdr:xfrm>
        <a:off x="6616080" y="1444680"/>
        <a:ext cx="4925160" cy="2547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0</xdr:col>
      <xdr:colOff>57240</xdr:colOff>
      <xdr:row>12</xdr:row>
      <xdr:rowOff>76680</xdr:rowOff>
    </xdr:from>
    <xdr:to>
      <xdr:col>9</xdr:col>
      <xdr:colOff>152280</xdr:colOff>
      <xdr:row>18</xdr:row>
      <xdr:rowOff>114480</xdr:rowOff>
    </xdr:to>
    <xdr:sp>
      <xdr:nvSpPr>
        <xdr:cNvPr id="10" name="CustomShape 1"/>
        <xdr:cNvSpPr/>
      </xdr:nvSpPr>
      <xdr:spPr>
        <a:xfrm>
          <a:off x="57240" y="2347200"/>
          <a:ext cx="6860160" cy="1180800"/>
        </a:xfrm>
        <a:prstGeom prst="rect">
          <a:avLst/>
        </a:prstGeom>
        <a:solidFill>
          <a:schemeClr val="lt1"/>
        </a:solidFill>
        <a:ln w="9360">
          <a:solidFill>
            <a:schemeClr val="lt1">
              <a:shade val="50000"/>
            </a:schemeClr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>
          <a:noAutofit/>
        </a:bodyPr>
        <a:p>
          <a:pPr>
            <a:lnSpc>
              <a:spcPct val="100000"/>
            </a:lnSpc>
          </a:pPr>
          <a:r>
            <a:rPr b="1" lang="en-US" sz="1100" spc="-1" strike="noStrike">
              <a:solidFill>
                <a:srgbClr val="1f497d"/>
              </a:solidFill>
              <a:latin typeface="Calibri"/>
            </a:rPr>
            <a:t>TREŚĆ ZADANIA:</a:t>
          </a:r>
          <a:endParaRPr b="0" lang="en-US" sz="1100" spc="-1" strike="noStrike">
            <a:latin typeface="Tinos"/>
          </a:endParaRPr>
        </a:p>
        <a:p>
          <a:pPr>
            <a:lnSpc>
              <a:spcPct val="100000"/>
            </a:lnSpc>
          </a:pPr>
          <a:r>
            <a:rPr b="0" i="1" lang="en-US" sz="1100" spc="-1" strike="noStrike">
              <a:solidFill>
                <a:srgbClr val="ff0000"/>
              </a:solidFill>
              <a:latin typeface="Calibri"/>
            </a:rPr>
            <a:t>W komórkach C2:E12 podano wagę i wzrost 10 zawodników pewnej drużyny koszykarskiej</a:t>
          </a:r>
          <a:endParaRPr b="0" lang="en-US" sz="1100" spc="-1" strike="noStrike">
            <a:latin typeface="Tinos"/>
          </a:endParaRPr>
        </a:p>
        <a:p>
          <a:pPr>
            <a:lnSpc>
              <a:spcPct val="100000"/>
            </a:lnSpc>
          </a:pPr>
          <a:r>
            <a:rPr b="0" i="1" lang="en-US" sz="1100" spc="-1" strike="noStrike">
              <a:solidFill>
                <a:srgbClr val="ff0000"/>
              </a:solidFill>
              <a:latin typeface="Calibri"/>
            </a:rPr>
            <a:t>Na podstawie tych danych stwórz wykres jak najbardziej zbliżony do wzoru </a:t>
          </a:r>
          <a:endParaRPr b="0" lang="en-US" sz="1100" spc="-1" strike="noStrike">
            <a:latin typeface="Tinos"/>
          </a:endParaRPr>
        </a:p>
        <a:p>
          <a:pPr>
            <a:lnSpc>
              <a:spcPct val="100000"/>
            </a:lnSpc>
          </a:pPr>
          <a:r>
            <a:rPr b="0" i="1" lang="en-US" sz="1100" spc="-1" strike="noStrike">
              <a:solidFill>
                <a:srgbClr val="ff0000"/>
              </a:solidFill>
              <a:latin typeface="Calibri"/>
            </a:rPr>
            <a:t>przedstawionego na rysunku poniżej.</a:t>
          </a:r>
          <a:endParaRPr b="0" lang="en-US" sz="1100" spc="-1" strike="noStrike">
            <a:latin typeface="Tinos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nos"/>
          </a:endParaRPr>
        </a:p>
        <a:p>
          <a:pPr>
            <a:lnSpc>
              <a:spcPct val="100000"/>
            </a:lnSpc>
          </a:pPr>
          <a:r>
            <a:rPr b="0" i="1" lang="en-US" sz="1100" spc="-1" strike="noStrike">
              <a:solidFill>
                <a:srgbClr val="ff0000"/>
              </a:solidFill>
              <a:latin typeface="Calibri"/>
            </a:rPr>
            <a:t>Uwaga. Wartości w arkuszu zmieniają się automatycznie. Zatem rysunek należy traktować poglądowo.</a:t>
          </a:r>
          <a:endParaRPr b="0" lang="en-US" sz="1100" spc="-1" strike="noStrike">
            <a:latin typeface="Tinos"/>
          </a:endParaRPr>
        </a:p>
      </xdr:txBody>
    </xdr:sp>
    <xdr:clientData/>
  </xdr:twoCellAnchor>
  <xdr:twoCellAnchor editAs="oneCell">
    <xdr:from>
      <xdr:col>0</xdr:col>
      <xdr:colOff>438120</xdr:colOff>
      <xdr:row>18</xdr:row>
      <xdr:rowOff>152640</xdr:rowOff>
    </xdr:from>
    <xdr:to>
      <xdr:col>7</xdr:col>
      <xdr:colOff>199080</xdr:colOff>
      <xdr:row>33</xdr:row>
      <xdr:rowOff>46800</xdr:rowOff>
    </xdr:to>
    <xdr:pic>
      <xdr:nvPicPr>
        <xdr:cNvPr id="11" name="Obraz 3" descr=""/>
        <xdr:cNvPicPr/>
      </xdr:nvPicPr>
      <xdr:blipFill>
        <a:blip r:embed="rId1"/>
        <a:stretch/>
      </xdr:blipFill>
      <xdr:spPr>
        <a:xfrm>
          <a:off x="438120" y="3566160"/>
          <a:ext cx="5192640" cy="27518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9</xdr:col>
      <xdr:colOff>88200</xdr:colOff>
      <xdr:row>15</xdr:row>
      <xdr:rowOff>63000</xdr:rowOff>
    </xdr:from>
    <xdr:to>
      <xdr:col>17</xdr:col>
      <xdr:colOff>517680</xdr:colOff>
      <xdr:row>32</xdr:row>
      <xdr:rowOff>63000</xdr:rowOff>
    </xdr:to>
    <xdr:graphicFrame>
      <xdr:nvGraphicFramePr>
        <xdr:cNvPr id="12" name=""/>
        <xdr:cNvGraphicFramePr/>
      </xdr:nvGraphicFramePr>
      <xdr:xfrm>
        <a:off x="6853320" y="2905200"/>
        <a:ext cx="5763600" cy="32385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3</xdr:col>
      <xdr:colOff>171720</xdr:colOff>
      <xdr:row>0</xdr:row>
      <xdr:rowOff>123840</xdr:rowOff>
    </xdr:from>
    <xdr:to>
      <xdr:col>18</xdr:col>
      <xdr:colOff>199440</xdr:colOff>
      <xdr:row>6</xdr:row>
      <xdr:rowOff>142920</xdr:rowOff>
    </xdr:to>
    <xdr:sp>
      <xdr:nvSpPr>
        <xdr:cNvPr id="13" name="CustomShape 1"/>
        <xdr:cNvSpPr/>
      </xdr:nvSpPr>
      <xdr:spPr>
        <a:xfrm>
          <a:off x="2603520" y="123840"/>
          <a:ext cx="10638720" cy="993600"/>
        </a:xfrm>
        <a:prstGeom prst="rect">
          <a:avLst/>
        </a:prstGeom>
        <a:solidFill>
          <a:schemeClr val="lt1"/>
        </a:solidFill>
        <a:ln w="9360">
          <a:solidFill>
            <a:schemeClr val="lt1">
              <a:shade val="50000"/>
            </a:schemeClr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>
          <a:noAutofit/>
        </a:bodyPr>
        <a:p>
          <a:pPr>
            <a:lnSpc>
              <a:spcPct val="100000"/>
            </a:lnSpc>
          </a:pPr>
          <a:r>
            <a:rPr b="1" lang="en-US" sz="1100" spc="-1" strike="noStrike">
              <a:solidFill>
                <a:srgbClr val="1f497d"/>
              </a:solidFill>
              <a:latin typeface="Calibri"/>
            </a:rPr>
            <a:t>TREŚĆ ZADANIA:</a:t>
          </a:r>
          <a:endParaRPr b="0" lang="en-US" sz="1100" spc="-1" strike="noStrike">
            <a:latin typeface="Tinos"/>
          </a:endParaRPr>
        </a:p>
        <a:p>
          <a:pPr>
            <a:lnSpc>
              <a:spcPct val="100000"/>
            </a:lnSpc>
          </a:pPr>
          <a:r>
            <a:rPr b="0" i="1" lang="en-US" sz="1100" spc="-1" strike="noStrike">
              <a:solidFill>
                <a:srgbClr val="ff0000"/>
              </a:solidFill>
              <a:latin typeface="Calibri"/>
            </a:rPr>
            <a:t>W kolumnie A podano argumenty (miary kąta od 0 do 360 stopni). W kolumnie B oblicz wartość funkcji,                     a w kolumnie C funkcji  </a:t>
          </a:r>
          <a:endParaRPr b="0" lang="en-US" sz="1100" spc="-1" strike="noStrike">
            <a:latin typeface="Tinos"/>
          </a:endParaRPr>
        </a:p>
        <a:p>
          <a:pPr>
            <a:lnSpc>
              <a:spcPct val="100000"/>
            </a:lnSpc>
          </a:pPr>
          <a:r>
            <a:rPr b="0" i="1" lang="en-US" sz="1100" spc="-1" strike="noStrike">
              <a:solidFill>
                <a:srgbClr val="ff0000"/>
              </a:solidFill>
              <a:latin typeface="Calibri"/>
            </a:rPr>
            <a:t>dla tych argumentów, a następnie stwórz wykres jak najbardziej zbliżony do wzoru przedstawionego na rysunku poniżej.</a:t>
          </a:r>
          <a:endParaRPr b="0" lang="en-US" sz="1100" spc="-1" strike="noStrike">
            <a:latin typeface="Tinos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nos"/>
          </a:endParaRPr>
        </a:p>
        <a:p>
          <a:pPr>
            <a:lnSpc>
              <a:spcPct val="100000"/>
            </a:lnSpc>
          </a:pPr>
          <a:r>
            <a:rPr b="0" i="1" lang="en-US" sz="1100" spc="-1" strike="noStrike">
              <a:solidFill>
                <a:srgbClr val="ff0000"/>
              </a:solidFill>
              <a:latin typeface="Calibri"/>
            </a:rPr>
            <a:t>Funkcja zwracająca tangens kąta w Excelu nazywa się </a:t>
          </a:r>
          <a:r>
            <a:rPr b="0" i="1" lang="en-US" sz="1100" spc="-1" strike="noStrike">
              <a:solidFill>
                <a:srgbClr val="002060"/>
              </a:solidFill>
              <a:latin typeface="Calibri"/>
            </a:rPr>
            <a:t>TAN(kąt)</a:t>
          </a:r>
          <a:r>
            <a:rPr b="0" i="1" lang="en-US" sz="1100" spc="-1" strike="noStrike">
              <a:solidFill>
                <a:srgbClr val="ff0000"/>
              </a:solidFill>
              <a:latin typeface="Calibri"/>
            </a:rPr>
            <a:t>. Pamiętaj, że argument tej funkcji musi być wyrażony w </a:t>
          </a:r>
          <a:r>
            <a:rPr b="0" i="1" lang="en-US" sz="1100" spc="-1" strike="noStrike">
              <a:solidFill>
                <a:srgbClr val="002060"/>
              </a:solidFill>
              <a:latin typeface="Calibri"/>
            </a:rPr>
            <a:t>radianach</a:t>
          </a:r>
          <a:r>
            <a:rPr b="0" i="1" lang="en-US" sz="1100" spc="-1" strike="noStrike">
              <a:solidFill>
                <a:srgbClr val="ff0000"/>
              </a:solidFill>
              <a:latin typeface="Calibri"/>
            </a:rPr>
            <a:t>.</a:t>
          </a:r>
          <a:endParaRPr b="0" lang="en-US" sz="1100" spc="-1" strike="noStrike">
            <a:latin typeface="Tinos"/>
          </a:endParaRPr>
        </a:p>
      </xdr:txBody>
    </xdr:sp>
    <xdr:clientData/>
  </xdr:twoCellAnchor>
  <xdr:twoCellAnchor editAs="oneCell">
    <xdr:from>
      <xdr:col>3</xdr:col>
      <xdr:colOff>190800</xdr:colOff>
      <xdr:row>7</xdr:row>
      <xdr:rowOff>19080</xdr:rowOff>
    </xdr:from>
    <xdr:to>
      <xdr:col>10</xdr:col>
      <xdr:colOff>599400</xdr:colOff>
      <xdr:row>24</xdr:row>
      <xdr:rowOff>74520</xdr:rowOff>
    </xdr:to>
    <xdr:pic>
      <xdr:nvPicPr>
        <xdr:cNvPr id="14" name="Obraz 5" descr=""/>
        <xdr:cNvPicPr/>
      </xdr:nvPicPr>
      <xdr:blipFill>
        <a:blip r:embed="rId1"/>
        <a:stretch/>
      </xdr:blipFill>
      <xdr:spPr>
        <a:xfrm>
          <a:off x="2622600" y="1156320"/>
          <a:ext cx="5360400" cy="2818800"/>
        </a:xfrm>
        <a:prstGeom prst="rect">
          <a:avLst/>
        </a:prstGeom>
        <a:ln>
          <a:noFill/>
        </a:ln>
      </xdr:spPr>
    </xdr:pic>
    <xdr:clientData/>
  </xdr:twoCellAnchor>
  <xdr:twoCellAnchor editAs="absolute">
    <xdr:from>
      <xdr:col>13</xdr:col>
      <xdr:colOff>28440</xdr:colOff>
      <xdr:row>2</xdr:row>
      <xdr:rowOff>27720</xdr:rowOff>
    </xdr:from>
    <xdr:to>
      <xdr:col>14</xdr:col>
      <xdr:colOff>28440</xdr:colOff>
      <xdr:row>3</xdr:row>
      <xdr:rowOff>65520</xdr:rowOff>
    </xdr:to>
    <xdr:pic>
      <xdr:nvPicPr>
        <xdr:cNvPr id="15" name="Picture 10" descr=""/>
        <xdr:cNvPicPr/>
      </xdr:nvPicPr>
      <xdr:blipFill>
        <a:blip r:embed="rId2"/>
        <a:stretch/>
      </xdr:blipFill>
      <xdr:spPr>
        <a:xfrm>
          <a:off x="9534240" y="352080"/>
          <a:ext cx="707400" cy="200160"/>
        </a:xfrm>
        <a:prstGeom prst="rect">
          <a:avLst/>
        </a:prstGeom>
        <a:ln>
          <a:noFill/>
        </a:ln>
      </xdr:spPr>
    </xdr:pic>
    <xdr:clientData/>
  </xdr:twoCellAnchor>
  <xdr:twoCellAnchor editAs="absolute">
    <xdr:from>
      <xdr:col>16</xdr:col>
      <xdr:colOff>152280</xdr:colOff>
      <xdr:row>1</xdr:row>
      <xdr:rowOff>95400</xdr:rowOff>
    </xdr:from>
    <xdr:to>
      <xdr:col>17</xdr:col>
      <xdr:colOff>380880</xdr:colOff>
      <xdr:row>3</xdr:row>
      <xdr:rowOff>94320</xdr:rowOff>
    </xdr:to>
    <xdr:pic>
      <xdr:nvPicPr>
        <xdr:cNvPr id="16" name="Picture 11" descr=""/>
        <xdr:cNvPicPr/>
      </xdr:nvPicPr>
      <xdr:blipFill>
        <a:blip r:embed="rId3"/>
        <a:stretch/>
      </xdr:blipFill>
      <xdr:spPr>
        <a:xfrm>
          <a:off x="11780280" y="257040"/>
          <a:ext cx="936000" cy="324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11</xdr:col>
      <xdr:colOff>292680</xdr:colOff>
      <xdr:row>7</xdr:row>
      <xdr:rowOff>129600</xdr:rowOff>
    </xdr:from>
    <xdr:to>
      <xdr:col>19</xdr:col>
      <xdr:colOff>393120</xdr:colOff>
      <xdr:row>27</xdr:row>
      <xdr:rowOff>117000</xdr:rowOff>
    </xdr:to>
    <xdr:graphicFrame>
      <xdr:nvGraphicFramePr>
        <xdr:cNvPr id="17" name=""/>
        <xdr:cNvGraphicFramePr/>
      </xdr:nvGraphicFramePr>
      <xdr:xfrm>
        <a:off x="8383680" y="1266840"/>
        <a:ext cx="5759640" cy="32385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6</xdr:col>
      <xdr:colOff>409680</xdr:colOff>
      <xdr:row>7</xdr:row>
      <xdr:rowOff>171360</xdr:rowOff>
    </xdr:from>
    <xdr:to>
      <xdr:col>14</xdr:col>
      <xdr:colOff>208800</xdr:colOff>
      <xdr:row>22</xdr:row>
      <xdr:rowOff>132480</xdr:rowOff>
    </xdr:to>
    <xdr:pic>
      <xdr:nvPicPr>
        <xdr:cNvPr id="18" name="Obraz 2" descr=""/>
        <xdr:cNvPicPr/>
      </xdr:nvPicPr>
      <xdr:blipFill>
        <a:blip r:embed="rId1"/>
        <a:stretch/>
      </xdr:blipFill>
      <xdr:spPr>
        <a:xfrm>
          <a:off x="5066640" y="1504800"/>
          <a:ext cx="5133240" cy="281844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4</xdr:col>
      <xdr:colOff>514440</xdr:colOff>
      <xdr:row>0</xdr:row>
      <xdr:rowOff>181080</xdr:rowOff>
    </xdr:from>
    <xdr:to>
      <xdr:col>14</xdr:col>
      <xdr:colOff>552240</xdr:colOff>
      <xdr:row>7</xdr:row>
      <xdr:rowOff>152280</xdr:rowOff>
    </xdr:to>
    <xdr:sp>
      <xdr:nvSpPr>
        <xdr:cNvPr id="19" name="CustomShape 1"/>
        <xdr:cNvSpPr/>
      </xdr:nvSpPr>
      <xdr:spPr>
        <a:xfrm>
          <a:off x="3837960" y="181080"/>
          <a:ext cx="6705360" cy="1304640"/>
        </a:xfrm>
        <a:prstGeom prst="rect">
          <a:avLst/>
        </a:prstGeom>
        <a:solidFill>
          <a:schemeClr val="lt1"/>
        </a:solidFill>
        <a:ln w="9360">
          <a:solidFill>
            <a:schemeClr val="lt1">
              <a:shade val="50000"/>
            </a:schemeClr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>
          <a:noAutofit/>
        </a:bodyPr>
        <a:p>
          <a:pPr>
            <a:lnSpc>
              <a:spcPct val="100000"/>
            </a:lnSpc>
          </a:pPr>
          <a:r>
            <a:rPr b="1" lang="en-US" sz="1100" spc="-1" strike="noStrike">
              <a:solidFill>
                <a:srgbClr val="1f497d"/>
              </a:solidFill>
              <a:latin typeface="Calibri"/>
            </a:rPr>
            <a:t>TREŚĆ ZADANIA:</a:t>
          </a:r>
          <a:endParaRPr b="0" lang="en-US" sz="1100" spc="-1" strike="noStrike">
            <a:latin typeface="Tinos"/>
          </a:endParaRPr>
        </a:p>
        <a:p>
          <a:pPr>
            <a:lnSpc>
              <a:spcPct val="100000"/>
            </a:lnSpc>
          </a:pPr>
          <a:r>
            <a:rPr b="0" i="1" lang="en-US" sz="1100" spc="-1" strike="noStrike">
              <a:solidFill>
                <a:srgbClr val="ff0000"/>
              </a:solidFill>
              <a:latin typeface="Calibri"/>
            </a:rPr>
            <a:t>W komórkach C4:D13 podano wyniki ankiety na ulubionego pisarza lektur szkolnych, przeprowadzonej wśród  uczniów klasy pierwszych twojej szkoły.</a:t>
          </a:r>
          <a:endParaRPr b="0" lang="en-US" sz="1100" spc="-1" strike="noStrike">
            <a:latin typeface="Tinos"/>
          </a:endParaRPr>
        </a:p>
        <a:p>
          <a:pPr>
            <a:lnSpc>
              <a:spcPct val="100000"/>
            </a:lnSpc>
          </a:pPr>
          <a:r>
            <a:rPr b="0" i="1" lang="en-US" sz="1100" spc="-1" strike="noStrike">
              <a:solidFill>
                <a:srgbClr val="ff0000"/>
              </a:solidFill>
              <a:latin typeface="Calibri"/>
            </a:rPr>
            <a:t>Na podstawie tych danych stwórz wykres jak najbardziej zbliżony do wzoru przedstawionego na rysunku poniżej.</a:t>
          </a:r>
          <a:endParaRPr b="0" lang="en-US" sz="1100" spc="-1" strike="noStrike">
            <a:latin typeface="Tinos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nos"/>
          </a:endParaRPr>
        </a:p>
        <a:p>
          <a:pPr>
            <a:lnSpc>
              <a:spcPct val="100000"/>
            </a:lnSpc>
          </a:pPr>
          <a:r>
            <a:rPr b="0" i="1" lang="en-US" sz="1100" spc="-1" strike="noStrike">
              <a:solidFill>
                <a:srgbClr val="ff0000"/>
              </a:solidFill>
              <a:latin typeface="Calibri"/>
            </a:rPr>
            <a:t>Uwaga. Wartości w arkuszu zmieniają się automatycznie. Zatem rysunek należy traktować poglądowo.</a:t>
          </a:r>
          <a:endParaRPr b="0" lang="en-US" sz="1100" spc="-1" strike="noStrike">
            <a:latin typeface="Tinos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181080</xdr:colOff>
      <xdr:row>11</xdr:row>
      <xdr:rowOff>123840</xdr:rowOff>
    </xdr:from>
    <xdr:to>
      <xdr:col>8</xdr:col>
      <xdr:colOff>513360</xdr:colOff>
      <xdr:row>29</xdr:row>
      <xdr:rowOff>37440</xdr:rowOff>
    </xdr:to>
    <xdr:pic>
      <xdr:nvPicPr>
        <xdr:cNvPr id="20" name="Obraz 2" descr=""/>
        <xdr:cNvPicPr/>
      </xdr:nvPicPr>
      <xdr:blipFill>
        <a:blip r:embed="rId1"/>
        <a:stretch/>
      </xdr:blipFill>
      <xdr:spPr>
        <a:xfrm>
          <a:off x="181080" y="2219040"/>
          <a:ext cx="6057360" cy="334260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2</xdr:col>
      <xdr:colOff>152280</xdr:colOff>
      <xdr:row>0</xdr:row>
      <xdr:rowOff>114480</xdr:rowOff>
    </xdr:from>
    <xdr:to>
      <xdr:col>12</xdr:col>
      <xdr:colOff>190080</xdr:colOff>
      <xdr:row>7</xdr:row>
      <xdr:rowOff>85680</xdr:rowOff>
    </xdr:to>
    <xdr:sp>
      <xdr:nvSpPr>
        <xdr:cNvPr id="21" name="CustomShape 1"/>
        <xdr:cNvSpPr/>
      </xdr:nvSpPr>
      <xdr:spPr>
        <a:xfrm>
          <a:off x="1876680" y="114480"/>
          <a:ext cx="6705360" cy="1304640"/>
        </a:xfrm>
        <a:prstGeom prst="rect">
          <a:avLst/>
        </a:prstGeom>
        <a:solidFill>
          <a:schemeClr val="lt1"/>
        </a:solidFill>
        <a:ln w="9360">
          <a:solidFill>
            <a:schemeClr val="lt1">
              <a:shade val="50000"/>
            </a:schemeClr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>
          <a:noAutofit/>
        </a:bodyPr>
        <a:p>
          <a:pPr>
            <a:lnSpc>
              <a:spcPct val="100000"/>
            </a:lnSpc>
          </a:pPr>
          <a:r>
            <a:rPr b="1" lang="en-US" sz="1100" spc="-1" strike="noStrike">
              <a:solidFill>
                <a:srgbClr val="1f497d"/>
              </a:solidFill>
              <a:latin typeface="Calibri"/>
            </a:rPr>
            <a:t>TREŚĆ ZADANIA:</a:t>
          </a:r>
          <a:endParaRPr b="0" lang="en-US" sz="1100" spc="-1" strike="noStrike">
            <a:latin typeface="Tinos"/>
          </a:endParaRPr>
        </a:p>
        <a:p>
          <a:pPr>
            <a:lnSpc>
              <a:spcPct val="100000"/>
            </a:lnSpc>
          </a:pPr>
          <a:r>
            <a:rPr b="0" i="1" lang="en-US" sz="1100" spc="-1" strike="noStrike">
              <a:solidFill>
                <a:srgbClr val="ff0000"/>
              </a:solidFill>
              <a:latin typeface="Calibri"/>
            </a:rPr>
            <a:t>W komórkach A1:B11 podano frekwencję pewnego ucznia w poszczególnych miesiącach.</a:t>
          </a:r>
          <a:endParaRPr b="0" lang="en-US" sz="1100" spc="-1" strike="noStrike">
            <a:latin typeface="Tinos"/>
          </a:endParaRPr>
        </a:p>
        <a:p>
          <a:pPr>
            <a:lnSpc>
              <a:spcPct val="100000"/>
            </a:lnSpc>
          </a:pPr>
          <a:r>
            <a:rPr b="0" i="1" lang="en-US" sz="1100" spc="-1" strike="noStrike">
              <a:solidFill>
                <a:srgbClr val="ff0000"/>
              </a:solidFill>
              <a:latin typeface="Calibri"/>
            </a:rPr>
            <a:t>Na podstawie tych danych stwórz wykres jak najbardziej zbliżony do wzoru przedstwionego na rysunku poniżej. Zauważ, że wykres obejmuje także maj i czerwiec, choć w arkuszu brak danych dla tych miesięcy.</a:t>
          </a:r>
          <a:endParaRPr b="0" lang="en-US" sz="1100" spc="-1" strike="noStrike">
            <a:latin typeface="Tinos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nos"/>
          </a:endParaRPr>
        </a:p>
        <a:p>
          <a:pPr>
            <a:lnSpc>
              <a:spcPct val="100000"/>
            </a:lnSpc>
          </a:pPr>
          <a:r>
            <a:rPr b="0" i="1" lang="en-US" sz="1100" spc="-1" strike="noStrike">
              <a:solidFill>
                <a:srgbClr val="ff0000"/>
              </a:solidFill>
              <a:latin typeface="Calibri"/>
            </a:rPr>
            <a:t>Uwaga. Wartości w arkuszu zmieniają się automatycznie. Zatem rysunek należy traktować poglądowo.</a:t>
          </a:r>
          <a:endParaRPr b="0" lang="en-US" sz="1100" spc="-1" strike="noStrike">
            <a:latin typeface="Tinos"/>
          </a:endParaRPr>
        </a:p>
      </xdr:txBody>
    </xdr:sp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6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7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S20" activeCellId="0" sqref="S20"/>
    </sheetView>
  </sheetViews>
  <sheetFormatPr defaultColWidth="8.609375" defaultRowHeight="15" zeroHeight="false" outlineLevelRow="0" outlineLevelCol="0"/>
  <cols>
    <col collapsed="false" customWidth="true" hidden="false" outlineLevel="0" max="2" min="1" style="0" width="7.71"/>
    <col collapsed="false" customWidth="true" hidden="false" outlineLevel="0" max="3" min="3" style="0" width="7"/>
    <col collapsed="false" customWidth="true" hidden="false" outlineLevel="0" max="4" min="4" style="0" width="7.28"/>
    <col collapsed="false" customWidth="true" hidden="false" outlineLevel="0" max="6" min="6" style="0" width="7"/>
    <col collapsed="false" customWidth="true" hidden="false" outlineLevel="0" max="7" min="7" style="0" width="9"/>
    <col collapsed="false" customWidth="true" hidden="false" outlineLevel="0" max="8" min="8" style="0" width="6.13"/>
    <col collapsed="false" customWidth="true" hidden="false" outlineLevel="0" max="9" min="9" style="0" width="8.43"/>
    <col collapsed="false" customWidth="true" hidden="false" outlineLevel="0" max="10" min="10" style="0" width="9.29"/>
    <col collapsed="false" customWidth="true" hidden="false" outlineLevel="0" max="11" min="11" style="0" width="11.14"/>
    <col collapsed="false" customWidth="true" hidden="false" outlineLevel="0" max="12" min="12" style="0" width="8.43"/>
    <col collapsed="false" customWidth="true" hidden="false" outlineLevel="0" max="13" min="13" style="0" width="9"/>
  </cols>
  <sheetData>
    <row r="1" customFormat="false" ht="1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customFormat="false" ht="15" hidden="false" customHeight="false" outlineLevel="0" collapsed="false">
      <c r="A2" s="1" t="s">
        <v>13</v>
      </c>
      <c r="B2" s="1" t="n">
        <v>2.8518</v>
      </c>
      <c r="C2" s="1" t="n">
        <v>2.9385</v>
      </c>
      <c r="D2" s="1" t="n">
        <v>2.8672</v>
      </c>
      <c r="E2" s="1" t="n">
        <v>2.8799</v>
      </c>
      <c r="F2" s="1" t="n">
        <v>3.2137</v>
      </c>
      <c r="G2" s="1" t="n">
        <v>3.3571</v>
      </c>
      <c r="H2" s="1" t="n">
        <v>3.195</v>
      </c>
      <c r="I2" s="1" t="n">
        <v>3.0894</v>
      </c>
      <c r="J2" s="1" t="n">
        <v>3.0318</v>
      </c>
      <c r="K2" s="1" t="n">
        <v>2.8482</v>
      </c>
      <c r="L2" s="1" t="n">
        <v>2.8913</v>
      </c>
      <c r="M2" s="1" t="n">
        <v>3.0197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3:C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Q24" activeCellId="0" sqref="Q24"/>
    </sheetView>
  </sheetViews>
  <sheetFormatPr defaultColWidth="8.609375" defaultRowHeight="15" zeroHeight="false" outlineLevelRow="0" outlineLevelCol="0"/>
  <cols>
    <col collapsed="false" customWidth="true" hidden="false" outlineLevel="0" max="2" min="2" style="0" width="7.42"/>
    <col collapsed="false" customWidth="true" hidden="false" outlineLevel="0" max="3" min="3" style="0" width="16.86"/>
  </cols>
  <sheetData>
    <row r="3" customFormat="false" ht="15" hidden="false" customHeight="false" outlineLevel="0" collapsed="false">
      <c r="B3" s="2" t="s">
        <v>14</v>
      </c>
      <c r="C3" s="2" t="s">
        <v>15</v>
      </c>
    </row>
    <row r="4" customFormat="false" ht="15" hidden="false" customHeight="false" outlineLevel="0" collapsed="false">
      <c r="B4" s="1" t="s">
        <v>16</v>
      </c>
      <c r="C4" s="1" t="n">
        <v>12.756</v>
      </c>
    </row>
    <row r="5" customFormat="false" ht="15" hidden="false" customHeight="false" outlineLevel="0" collapsed="false">
      <c r="B5" s="1" t="s">
        <v>17</v>
      </c>
      <c r="C5" s="1" t="n">
        <v>108.728</v>
      </c>
    </row>
    <row r="6" customFormat="false" ht="15" hidden="false" customHeight="false" outlineLevel="0" collapsed="false">
      <c r="B6" s="1" t="s">
        <v>18</v>
      </c>
      <c r="C6" s="1" t="n">
        <v>1392.5</v>
      </c>
    </row>
    <row r="7" customFormat="false" ht="15" hidden="false" customHeight="false" outlineLevel="0" collapsed="false">
      <c r="B7" s="1" t="s">
        <v>19</v>
      </c>
      <c r="C7" s="1" t="n">
        <v>2506.5</v>
      </c>
    </row>
    <row r="8" customFormat="false" ht="15" hidden="false" customHeight="false" outlineLevel="0" collapsed="false">
      <c r="B8" s="1" t="s">
        <v>20</v>
      </c>
      <c r="C8" s="1" t="n">
        <v>6962.5</v>
      </c>
    </row>
    <row r="9" customFormat="false" ht="15" hidden="false" customHeight="false" outlineLevel="0" collapsed="false">
      <c r="B9" s="1" t="s">
        <v>21</v>
      </c>
      <c r="C9" s="1" t="n">
        <v>86335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42"/>
  <sheetViews>
    <sheetView showFormulas="false" showGridLines="true" showRowColHeaders="true" showZeros="true" rightToLeft="false" tabSelected="false" showOutlineSymbols="true" defaultGridColor="true" view="normal" topLeftCell="A4" colorId="64" zoomScale="100" zoomScaleNormal="100" zoomScalePageLayoutView="100" workbookViewId="0">
      <selection pane="topLeft" activeCell="G43" activeCellId="0" sqref="G43"/>
    </sheetView>
  </sheetViews>
  <sheetFormatPr defaultColWidth="8.609375" defaultRowHeight="15" zeroHeight="false" outlineLevelRow="0" outlineLevelCol="0"/>
  <sheetData>
    <row r="1" customFormat="false" ht="15" hidden="false" customHeight="false" outlineLevel="0" collapsed="false">
      <c r="A1" s="2" t="s">
        <v>22</v>
      </c>
      <c r="B1" s="2" t="s">
        <v>23</v>
      </c>
    </row>
    <row r="2" customFormat="false" ht="13.8" hidden="false" customHeight="false" outlineLevel="0" collapsed="false">
      <c r="A2" s="1" t="n">
        <v>0</v>
      </c>
      <c r="B2" s="1" t="n">
        <f aca="false">$A2/(1-SQRT($A2))</f>
        <v>0</v>
      </c>
    </row>
    <row r="3" customFormat="false" ht="13.8" hidden="false" customHeight="false" outlineLevel="0" collapsed="false">
      <c r="A3" s="1" t="n">
        <v>0.1</v>
      </c>
      <c r="B3" s="1" t="n">
        <f aca="false">$A3/(1-SQRT($A3))</f>
        <v>0.146247529557426</v>
      </c>
    </row>
    <row r="4" customFormat="false" ht="13.8" hidden="false" customHeight="false" outlineLevel="0" collapsed="false">
      <c r="A4" s="1" t="n">
        <v>0.2</v>
      </c>
      <c r="B4" s="1" t="n">
        <f aca="false">$A4/(1-SQRT($A4))</f>
        <v>0.361803398874989</v>
      </c>
    </row>
    <row r="5" customFormat="false" ht="13.8" hidden="false" customHeight="false" outlineLevel="0" collapsed="false">
      <c r="A5" s="1" t="n">
        <v>0.3</v>
      </c>
      <c r="B5" s="1" t="n">
        <f aca="false">$A5/(1-SQRT($A5))</f>
        <v>0.663309667502214</v>
      </c>
    </row>
    <row r="6" customFormat="false" ht="13.8" hidden="false" customHeight="false" outlineLevel="0" collapsed="false">
      <c r="A6" s="1" t="n">
        <v>0.4</v>
      </c>
      <c r="B6" s="1" t="n">
        <f aca="false">$A6/(1-SQRT($A6))</f>
        <v>1.08830368802245</v>
      </c>
    </row>
    <row r="7" customFormat="false" ht="13.8" hidden="false" customHeight="false" outlineLevel="0" collapsed="false">
      <c r="A7" s="1" t="n">
        <v>0.5</v>
      </c>
      <c r="B7" s="1" t="n">
        <f aca="false">$A7/(1-SQRT($A7))</f>
        <v>1.70710678118655</v>
      </c>
    </row>
    <row r="8" customFormat="false" ht="13.8" hidden="false" customHeight="false" outlineLevel="0" collapsed="false">
      <c r="A8" s="1" t="n">
        <v>0.6</v>
      </c>
      <c r="B8" s="1" t="n">
        <f aca="false">$A8/(1-SQRT($A8))</f>
        <v>2.66189500386223</v>
      </c>
    </row>
    <row r="9" customFormat="false" ht="13.8" hidden="false" customHeight="false" outlineLevel="0" collapsed="false">
      <c r="A9" s="1" t="n">
        <v>0.7</v>
      </c>
      <c r="B9" s="1" t="n">
        <f aca="false">$A9/(1-SQRT($A9))</f>
        <v>4.28554006191284</v>
      </c>
    </row>
    <row r="10" customFormat="false" ht="13.8" hidden="false" customHeight="false" outlineLevel="0" collapsed="false">
      <c r="A10" s="1" t="n">
        <v>0.8</v>
      </c>
      <c r="B10" s="1" t="n">
        <f aca="false">$A10/(1-SQRT($A10))</f>
        <v>7.57770876399966</v>
      </c>
    </row>
    <row r="11" customFormat="false" ht="13.8" hidden="false" customHeight="false" outlineLevel="0" collapsed="false">
      <c r="A11" s="1" t="n">
        <v>0.9</v>
      </c>
      <c r="B11" s="1" t="n">
        <f aca="false">$A11/(1-SQRT($A11))</f>
        <v>17.5381496824546</v>
      </c>
    </row>
    <row r="12" customFormat="false" ht="13.8" hidden="false" customHeight="false" outlineLevel="0" collapsed="false">
      <c r="A12" s="1" t="n">
        <v>1</v>
      </c>
      <c r="B12" s="1" t="e">
        <f aca="false">$A12/(1-SQRT($A12))</f>
        <v>#DIV/0!</v>
      </c>
    </row>
    <row r="13" customFormat="false" ht="13.8" hidden="false" customHeight="false" outlineLevel="0" collapsed="false">
      <c r="A13" s="1" t="n">
        <v>1.1</v>
      </c>
      <c r="B13" s="1" t="n">
        <f aca="false">$A13/(1-SQRT($A13))</f>
        <v>-22.5368973298716</v>
      </c>
    </row>
    <row r="14" customFormat="false" ht="13.8" hidden="false" customHeight="false" outlineLevel="0" collapsed="false">
      <c r="A14" s="1" t="n">
        <v>1.2</v>
      </c>
      <c r="B14" s="1" t="n">
        <f aca="false">$A14/(1-SQRT($A14))</f>
        <v>-12.572670690062</v>
      </c>
    </row>
    <row r="15" customFormat="false" ht="13.8" hidden="false" customHeight="false" outlineLevel="0" collapsed="false">
      <c r="A15" s="1" t="n">
        <v>1.3</v>
      </c>
      <c r="B15" s="1" t="n">
        <f aca="false">$A15/(1-SQRT($A15))</f>
        <v>-9.27409350876293</v>
      </c>
    </row>
    <row r="16" customFormat="false" ht="13.8" hidden="false" customHeight="false" outlineLevel="0" collapsed="false">
      <c r="A16" s="1" t="n">
        <v>1.4</v>
      </c>
      <c r="B16" s="1" t="n">
        <f aca="false">$A16/(1-SQRT($A16))</f>
        <v>-7.64125584816973</v>
      </c>
    </row>
    <row r="17" customFormat="false" ht="13.8" hidden="false" customHeight="false" outlineLevel="0" collapsed="false">
      <c r="A17" s="1" t="n">
        <v>1.5</v>
      </c>
      <c r="B17" s="1" t="n">
        <f aca="false">$A17/(1-SQRT($A17))</f>
        <v>-6.67423461417477</v>
      </c>
    </row>
    <row r="18" customFormat="false" ht="13.8" hidden="false" customHeight="false" outlineLevel="0" collapsed="false">
      <c r="A18" s="1" t="n">
        <v>1.6</v>
      </c>
      <c r="B18" s="1" t="n">
        <f aca="false">$A18/(1-SQRT($A18))</f>
        <v>-6.03976283751294</v>
      </c>
    </row>
    <row r="19" customFormat="false" ht="13.8" hidden="false" customHeight="false" outlineLevel="0" collapsed="false">
      <c r="A19" s="1" t="n">
        <v>1.7</v>
      </c>
      <c r="B19" s="1" t="n">
        <f aca="false">$A19/(1-SQRT($A19))</f>
        <v>-5.59504116824129</v>
      </c>
    </row>
    <row r="20" customFormat="false" ht="13.8" hidden="false" customHeight="false" outlineLevel="0" collapsed="false">
      <c r="A20" s="1" t="n">
        <v>1.8</v>
      </c>
      <c r="B20" s="1" t="n">
        <f aca="false">$A20/(1-SQRT($A20))</f>
        <v>-5.26869176962472</v>
      </c>
    </row>
    <row r="21" customFormat="false" ht="13.8" hidden="false" customHeight="false" outlineLevel="0" collapsed="false">
      <c r="A21" s="1" t="n">
        <v>1.9</v>
      </c>
      <c r="B21" s="1" t="n">
        <f aca="false">$A21/(1-SQRT($A21))</f>
        <v>-5.0210769587746</v>
      </c>
    </row>
    <row r="22" customFormat="false" ht="13.8" hidden="false" customHeight="false" outlineLevel="0" collapsed="false">
      <c r="A22" s="1" t="n">
        <v>2</v>
      </c>
      <c r="B22" s="1" t="n">
        <f aca="false">$A22/(1-SQRT($A22))</f>
        <v>-4.82842712474619</v>
      </c>
    </row>
    <row r="23" customFormat="false" ht="13.8" hidden="false" customHeight="false" outlineLevel="0" collapsed="false">
      <c r="A23" s="1" t="n">
        <v>2.1</v>
      </c>
      <c r="B23" s="1" t="n">
        <f aca="false">$A23/(1-SQRT($A23))</f>
        <v>-4.67562646972707</v>
      </c>
    </row>
    <row r="24" customFormat="false" ht="13.8" hidden="false" customHeight="false" outlineLevel="0" collapsed="false">
      <c r="A24" s="1" t="n">
        <v>2.2</v>
      </c>
      <c r="B24" s="1" t="n">
        <f aca="false">$A24/(1-SQRT($A24))</f>
        <v>-4.55260611193508</v>
      </c>
    </row>
    <row r="25" customFormat="false" ht="13.8" hidden="false" customHeight="false" outlineLevel="0" collapsed="false">
      <c r="A25" s="1" t="n">
        <v>2.3</v>
      </c>
      <c r="B25" s="1" t="n">
        <f aca="false">$A25/(1-SQRT($A25))</f>
        <v>-4.45240208020286</v>
      </c>
    </row>
    <row r="26" customFormat="false" ht="13.8" hidden="false" customHeight="false" outlineLevel="0" collapsed="false">
      <c r="A26" s="1" t="n">
        <v>2.4</v>
      </c>
      <c r="B26" s="1" t="n">
        <f aca="false">$A26/(1-SQRT($A26))</f>
        <v>-4.37004572311366</v>
      </c>
    </row>
    <row r="27" customFormat="false" ht="13.8" hidden="false" customHeight="false" outlineLevel="0" collapsed="false">
      <c r="A27" s="1" t="n">
        <v>2.5</v>
      </c>
      <c r="B27" s="1" t="n">
        <f aca="false">$A27/(1-SQRT($A27))</f>
        <v>-4.30189805014032</v>
      </c>
    </row>
    <row r="28" customFormat="false" ht="13.8" hidden="false" customHeight="false" outlineLevel="0" collapsed="false">
      <c r="A28" s="1" t="n">
        <v>2.6</v>
      </c>
      <c r="B28" s="1" t="n">
        <f aca="false">$A28/(1-SQRT($A28))</f>
        <v>-4.24523376819703</v>
      </c>
    </row>
    <row r="29" customFormat="false" ht="13.8" hidden="false" customHeight="false" outlineLevel="0" collapsed="false">
      <c r="A29" s="1" t="n">
        <v>2.7</v>
      </c>
      <c r="B29" s="1" t="n">
        <f aca="false">$A29/(1-SQRT($A29))</f>
        <v>-4.19797218575991</v>
      </c>
    </row>
    <row r="30" customFormat="false" ht="13.8" hidden="false" customHeight="false" outlineLevel="0" collapsed="false">
      <c r="A30" s="1" t="n">
        <v>2.8</v>
      </c>
      <c r="B30" s="1" t="n">
        <f aca="false">$A30/(1-SQRT($A30))</f>
        <v>-4.15849786032824</v>
      </c>
    </row>
    <row r="31" customFormat="false" ht="13.8" hidden="false" customHeight="false" outlineLevel="0" collapsed="false">
      <c r="A31" s="1" t="n">
        <v>2.9</v>
      </c>
      <c r="B31" s="1" t="n">
        <f aca="false">$A31/(1-SQRT($A31))</f>
        <v>-4.12553791900982</v>
      </c>
    </row>
    <row r="32" customFormat="false" ht="13.8" hidden="false" customHeight="false" outlineLevel="0" collapsed="false">
      <c r="A32" s="1" t="n">
        <v>3</v>
      </c>
      <c r="B32" s="1" t="n">
        <f aca="false">$A32/(1-SQRT($A32))</f>
        <v>-4.09807621135332</v>
      </c>
    </row>
    <row r="33" customFormat="false" ht="13.8" hidden="false" customHeight="false" outlineLevel="0" collapsed="false">
      <c r="A33" s="1" t="n">
        <v>3.1</v>
      </c>
      <c r="B33" s="1" t="n">
        <f aca="false">$A33/(1-SQRT($A33))</f>
        <v>-4.07529201291157</v>
      </c>
    </row>
    <row r="34" customFormat="false" ht="13.8" hidden="false" customHeight="false" outlineLevel="0" collapsed="false">
      <c r="A34" s="1" t="n">
        <v>3.2</v>
      </c>
      <c r="B34" s="1" t="n">
        <f aca="false">$A34/(1-SQRT($A34))</f>
        <v>-4.05651546472703</v>
      </c>
    </row>
    <row r="35" customFormat="false" ht="13.8" hidden="false" customHeight="false" outlineLevel="0" collapsed="false">
      <c r="A35" s="1" t="n">
        <v>3.3</v>
      </c>
      <c r="B35" s="1" t="n">
        <f aca="false">$A35/(1-SQRT($A35))</f>
        <v>-4.04119465265784</v>
      </c>
    </row>
    <row r="36" customFormat="false" ht="13.8" hidden="false" customHeight="false" outlineLevel="0" collapsed="false">
      <c r="A36" s="1" t="n">
        <v>3.4</v>
      </c>
      <c r="B36" s="1" t="n">
        <f aca="false">$A36/(1-SQRT($A36))</f>
        <v>-4.02887092956632</v>
      </c>
    </row>
    <row r="37" customFormat="false" ht="13.8" hidden="false" customHeight="false" outlineLevel="0" collapsed="false">
      <c r="A37" s="1" t="n">
        <v>3.5</v>
      </c>
      <c r="B37" s="1" t="n">
        <f aca="false">$A37/(1-SQRT($A37))</f>
        <v>-4.01916017074176</v>
      </c>
    </row>
    <row r="38" customFormat="false" ht="13.8" hidden="false" customHeight="false" outlineLevel="0" collapsed="false">
      <c r="A38" s="1" t="n">
        <v>3.6</v>
      </c>
      <c r="B38" s="1" t="n">
        <f aca="false">$A38/(1-SQRT($A38))</f>
        <v>-4.01173836383219</v>
      </c>
    </row>
    <row r="39" customFormat="false" ht="13.8" hidden="false" customHeight="false" outlineLevel="0" collapsed="false">
      <c r="A39" s="1" t="n">
        <v>3.7</v>
      </c>
      <c r="B39" s="1" t="n">
        <f aca="false">$A39/(1-SQRT($A39))</f>
        <v>-4.00633040845126</v>
      </c>
    </row>
    <row r="40" customFormat="false" ht="13.8" hidden="false" customHeight="false" outlineLevel="0" collapsed="false">
      <c r="A40" s="1" t="n">
        <v>3.8</v>
      </c>
      <c r="B40" s="1" t="n">
        <f aca="false">$A40/(1-SQRT($A40))</f>
        <v>-4.00270132216243</v>
      </c>
    </row>
    <row r="41" customFormat="false" ht="13.8" hidden="false" customHeight="false" outlineLevel="0" collapsed="false">
      <c r="A41" s="1" t="n">
        <v>3.9</v>
      </c>
      <c r="B41" s="1" t="n">
        <f aca="false">$A41/(1-SQRT($A41))</f>
        <v>-4.00064927126596</v>
      </c>
    </row>
    <row r="42" customFormat="false" ht="13.8" hidden="false" customHeight="false" outlineLevel="0" collapsed="false">
      <c r="A42" s="1" t="n">
        <v>4</v>
      </c>
      <c r="B42" s="1" t="n">
        <f aca="false">$A42/(1-SQRT($A42))</f>
        <v>-4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C2:E3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K11" activeCellId="0" sqref="K11"/>
    </sheetView>
  </sheetViews>
  <sheetFormatPr defaultColWidth="8.609375" defaultRowHeight="15" zeroHeight="false" outlineLevelRow="0" outlineLevelCol="0"/>
  <cols>
    <col collapsed="false" customWidth="true" hidden="false" outlineLevel="0" max="3" min="3" style="0" width="14.43"/>
    <col collapsed="false" customWidth="true" hidden="false" outlineLevel="0" max="4" min="4" style="0" width="9.71"/>
    <col collapsed="false" customWidth="true" hidden="false" outlineLevel="0" max="5" min="5" style="0" width="11.58"/>
  </cols>
  <sheetData>
    <row r="2" customFormat="false" ht="15" hidden="false" customHeight="false" outlineLevel="0" collapsed="false">
      <c r="C2" s="2" t="s">
        <v>24</v>
      </c>
      <c r="D2" s="2" t="s">
        <v>25</v>
      </c>
      <c r="E2" s="2" t="s">
        <v>26</v>
      </c>
    </row>
    <row r="3" customFormat="false" ht="15" hidden="false" customHeight="false" outlineLevel="0" collapsed="false">
      <c r="C3" s="1" t="s">
        <v>27</v>
      </c>
      <c r="D3" s="1" t="n">
        <f aca="true">ROUND(RAND()*50+80,0)</f>
        <v>92</v>
      </c>
      <c r="E3" s="1" t="n">
        <f aca="true">ROUND(RAND()*14+197,0)</f>
        <v>198</v>
      </c>
    </row>
    <row r="4" customFormat="false" ht="15" hidden="false" customHeight="false" outlineLevel="0" collapsed="false">
      <c r="C4" s="1" t="s">
        <v>28</v>
      </c>
      <c r="D4" s="1" t="n">
        <f aca="true">ROUND(RAND()*50+80,0)</f>
        <v>101</v>
      </c>
      <c r="E4" s="1" t="n">
        <f aca="true">ROUND(RAND()*14+197,0)</f>
        <v>199</v>
      </c>
    </row>
    <row r="5" customFormat="false" ht="15" hidden="false" customHeight="false" outlineLevel="0" collapsed="false">
      <c r="C5" s="1" t="s">
        <v>29</v>
      </c>
      <c r="D5" s="1" t="n">
        <f aca="true">ROUND(RAND()*50+80,0)</f>
        <v>129</v>
      </c>
      <c r="E5" s="1" t="n">
        <f aca="true">ROUND(RAND()*14+197,0)</f>
        <v>208</v>
      </c>
    </row>
    <row r="6" customFormat="false" ht="15" hidden="false" customHeight="false" outlineLevel="0" collapsed="false">
      <c r="C6" s="1" t="s">
        <v>30</v>
      </c>
      <c r="D6" s="1" t="n">
        <f aca="true">ROUND(RAND()*50+80,0)</f>
        <v>123</v>
      </c>
      <c r="E6" s="1" t="n">
        <f aca="true">ROUND(RAND()*14+197,0)</f>
        <v>199</v>
      </c>
    </row>
    <row r="7" customFormat="false" ht="15" hidden="false" customHeight="false" outlineLevel="0" collapsed="false">
      <c r="C7" s="1" t="s">
        <v>31</v>
      </c>
      <c r="D7" s="1" t="n">
        <f aca="true">ROUND(RAND()*50+80,0)</f>
        <v>128</v>
      </c>
      <c r="E7" s="1" t="n">
        <f aca="true">ROUND(RAND()*14+197,0)</f>
        <v>198</v>
      </c>
    </row>
    <row r="8" customFormat="false" ht="15" hidden="false" customHeight="false" outlineLevel="0" collapsed="false">
      <c r="C8" s="1" t="s">
        <v>32</v>
      </c>
      <c r="D8" s="1" t="n">
        <f aca="true">ROUND(RAND()*50+80,0)</f>
        <v>108</v>
      </c>
      <c r="E8" s="1" t="n">
        <f aca="true">ROUND(RAND()*14+197,0)</f>
        <v>204</v>
      </c>
    </row>
    <row r="9" customFormat="false" ht="15" hidden="false" customHeight="false" outlineLevel="0" collapsed="false">
      <c r="C9" s="1" t="s">
        <v>33</v>
      </c>
      <c r="D9" s="1" t="n">
        <f aca="true">ROUND(RAND()*50+80,0)</f>
        <v>81</v>
      </c>
      <c r="E9" s="1" t="n">
        <f aca="true">ROUND(RAND()*14+197,0)</f>
        <v>210</v>
      </c>
    </row>
    <row r="10" customFormat="false" ht="15" hidden="false" customHeight="false" outlineLevel="0" collapsed="false">
      <c r="C10" s="1" t="s">
        <v>34</v>
      </c>
      <c r="D10" s="1" t="n">
        <f aca="true">ROUND(RAND()*50+80,0)</f>
        <v>125</v>
      </c>
      <c r="E10" s="1" t="n">
        <f aca="true">ROUND(RAND()*14+197,0)</f>
        <v>203</v>
      </c>
    </row>
    <row r="11" customFormat="false" ht="13.8" hidden="false" customHeight="false" outlineLevel="0" collapsed="false">
      <c r="C11" s="1" t="s">
        <v>35</v>
      </c>
      <c r="D11" s="1" t="n">
        <f aca="true">ROUND(RAND()*50+80,0)</f>
        <v>107</v>
      </c>
      <c r="E11" s="1" t="n">
        <f aca="true">ROUND(RAND()*14+197,0)</f>
        <v>208</v>
      </c>
    </row>
    <row r="12" customFormat="false" ht="15" hidden="false" customHeight="false" outlineLevel="0" collapsed="false">
      <c r="C12" s="1" t="s">
        <v>36</v>
      </c>
      <c r="D12" s="1" t="n">
        <f aca="true">ROUND(RAND()*50+80,0)</f>
        <v>101</v>
      </c>
      <c r="E12" s="1" t="n">
        <f aca="true">ROUND(RAND()*14+197,0)</f>
        <v>210</v>
      </c>
    </row>
    <row r="34" customFormat="false" ht="13.8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74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F29" activeCellId="0" sqref="F29"/>
    </sheetView>
  </sheetViews>
  <sheetFormatPr defaultColWidth="9.1328125" defaultRowHeight="12.75" zeroHeight="false" outlineLevelRow="0" outlineLevelCol="0"/>
  <cols>
    <col collapsed="false" customWidth="false" hidden="false" outlineLevel="0" max="2" min="1" style="3" width="9.14"/>
    <col collapsed="false" customWidth="true" hidden="false" outlineLevel="0" max="3" min="3" style="3" width="13.14"/>
    <col collapsed="false" customWidth="false" hidden="false" outlineLevel="0" max="258" min="4" style="3" width="9.14"/>
    <col collapsed="false" customWidth="true" hidden="false" outlineLevel="0" max="259" min="259" style="3" width="13.14"/>
    <col collapsed="false" customWidth="false" hidden="false" outlineLevel="0" max="514" min="260" style="3" width="9.14"/>
    <col collapsed="false" customWidth="true" hidden="false" outlineLevel="0" max="515" min="515" style="3" width="13.14"/>
    <col collapsed="false" customWidth="false" hidden="false" outlineLevel="0" max="770" min="516" style="3" width="9.14"/>
    <col collapsed="false" customWidth="true" hidden="false" outlineLevel="0" max="771" min="771" style="3" width="13.14"/>
    <col collapsed="false" customWidth="false" hidden="false" outlineLevel="0" max="1025" min="772" style="3" width="9.14"/>
  </cols>
  <sheetData>
    <row r="1" customFormat="false" ht="12.75" hidden="false" customHeight="false" outlineLevel="0" collapsed="false">
      <c r="A1" s="4" t="s">
        <v>22</v>
      </c>
      <c r="B1" s="4" t="s">
        <v>37</v>
      </c>
      <c r="C1" s="4" t="s">
        <v>38</v>
      </c>
    </row>
    <row r="2" customFormat="false" ht="12.8" hidden="false" customHeight="false" outlineLevel="0" collapsed="false">
      <c r="A2" s="5" t="n">
        <v>0</v>
      </c>
      <c r="B2" s="5" t="n">
        <f aca="false">SIN($A2)</f>
        <v>0</v>
      </c>
      <c r="C2" s="5" t="n">
        <f aca="false">TAN($A2+(PI()/2))</f>
        <v>16331239353195400</v>
      </c>
    </row>
    <row r="3" customFormat="false" ht="12.8" hidden="false" customHeight="false" outlineLevel="0" collapsed="false">
      <c r="A3" s="5" t="n">
        <v>5</v>
      </c>
      <c r="B3" s="5" t="n">
        <f aca="false">TAN($A3)</f>
        <v>-3.38051500624659</v>
      </c>
      <c r="C3" s="5" t="n">
        <f aca="false">TAN($A3+(PI()/2))</f>
        <v>0.295812915532745</v>
      </c>
    </row>
    <row r="4" customFormat="false" ht="12.8" hidden="false" customHeight="false" outlineLevel="0" collapsed="false">
      <c r="A4" s="5" t="n">
        <v>10</v>
      </c>
      <c r="B4" s="5" t="n">
        <f aca="false">TAN($A4)</f>
        <v>0.648360827459087</v>
      </c>
      <c r="C4" s="5" t="n">
        <f aca="false">TAN($A4+(PI()/2))</f>
        <v>-1.54235104535692</v>
      </c>
    </row>
    <row r="5" customFormat="false" ht="12.8" hidden="false" customHeight="false" outlineLevel="0" collapsed="false">
      <c r="A5" s="5" t="n">
        <v>15</v>
      </c>
      <c r="B5" s="5" t="n">
        <f aca="false">TAN($A5)</f>
        <v>-0.855993400908519</v>
      </c>
      <c r="C5" s="5" t="n">
        <f aca="false">TAN($A5+(PI()/2))</f>
        <v>1.16823330523184</v>
      </c>
    </row>
    <row r="6" customFormat="false" ht="12.8" hidden="false" customHeight="false" outlineLevel="0" collapsed="false">
      <c r="A6" s="5" t="n">
        <v>20</v>
      </c>
      <c r="B6" s="5" t="n">
        <f aca="false">TAN($A6)</f>
        <v>2.23716094422474</v>
      </c>
      <c r="C6" s="5" t="n">
        <f aca="false">TAN($A6+(PI()/2))</f>
        <v>-0.446995108948915</v>
      </c>
    </row>
    <row r="7" customFormat="false" ht="12.8" hidden="false" customHeight="false" outlineLevel="0" collapsed="false">
      <c r="A7" s="5" t="n">
        <v>25</v>
      </c>
      <c r="B7" s="5" t="n">
        <f aca="false">TAN($A7)</f>
        <v>-0.133526407021536</v>
      </c>
      <c r="C7" s="5" t="n">
        <f aca="false">TAN($A7+(PI()/2))</f>
        <v>7.48915530872277</v>
      </c>
    </row>
    <row r="8" customFormat="false" ht="12.8" hidden="false" customHeight="false" outlineLevel="0" collapsed="false">
      <c r="A8" s="5" t="n">
        <v>30</v>
      </c>
      <c r="B8" s="5" t="n">
        <f aca="false">TAN($A8)</f>
        <v>-6.40533119664628</v>
      </c>
      <c r="C8" s="5" t="n">
        <f aca="false">TAN($A8+(PI()/2))</f>
        <v>0.156119952161661</v>
      </c>
    </row>
    <row r="9" customFormat="false" ht="12.8" hidden="false" customHeight="false" outlineLevel="0" collapsed="false">
      <c r="A9" s="5" t="n">
        <v>35</v>
      </c>
      <c r="B9" s="5" t="n">
        <f aca="false">TAN($A9)</f>
        <v>0.473814720414451</v>
      </c>
      <c r="C9" s="5" t="n">
        <f aca="false">TAN($A9+(PI()/2))</f>
        <v>-2.11052961614465</v>
      </c>
    </row>
    <row r="10" customFormat="false" ht="12.8" hidden="false" customHeight="false" outlineLevel="0" collapsed="false">
      <c r="A10" s="5" t="n">
        <v>40</v>
      </c>
      <c r="B10" s="5" t="n">
        <f aca="false">TAN($A10)</f>
        <v>-1.1172149309239</v>
      </c>
      <c r="C10" s="5" t="n">
        <f aca="false">TAN($A10+(PI()/2))</f>
        <v>0.895082917637916</v>
      </c>
    </row>
    <row r="11" customFormat="false" ht="12.8" hidden="false" customHeight="false" outlineLevel="0" collapsed="false">
      <c r="A11" s="5" t="n">
        <v>45</v>
      </c>
      <c r="B11" s="5" t="n">
        <f aca="false">TAN($A11)</f>
        <v>1.61977519054386</v>
      </c>
      <c r="C11" s="5" t="n">
        <f aca="false">TAN($A11+(PI()/2))</f>
        <v>-0.617369623783553</v>
      </c>
    </row>
    <row r="12" customFormat="false" ht="12.8" hidden="false" customHeight="false" outlineLevel="0" collapsed="false">
      <c r="A12" s="5" t="n">
        <v>50</v>
      </c>
      <c r="B12" s="5" t="n">
        <f aca="false">TAN($A12)</f>
        <v>-0.271900611997631</v>
      </c>
      <c r="C12" s="5" t="n">
        <f aca="false">TAN($A12+(PI()/2))</f>
        <v>3.67781445085059</v>
      </c>
    </row>
    <row r="13" customFormat="false" ht="12.8" hidden="false" customHeight="false" outlineLevel="0" collapsed="false">
      <c r="A13" s="5" t="n">
        <v>55</v>
      </c>
      <c r="B13" s="5" t="n">
        <f aca="false">TAN($A13)</f>
        <v>-45.1830879105211</v>
      </c>
      <c r="C13" s="5" t="n">
        <f aca="false">TAN($A13+(PI()/2))</f>
        <v>0.0221321748079821</v>
      </c>
    </row>
    <row r="14" customFormat="false" ht="12.8" hidden="false" customHeight="false" outlineLevel="0" collapsed="false">
      <c r="A14" s="5" t="n">
        <v>60</v>
      </c>
      <c r="B14" s="5" t="n">
        <f aca="false">TAN($A14)</f>
        <v>0.320040389379563</v>
      </c>
      <c r="C14" s="5" t="n">
        <f aca="false">TAN($A14+(PI()/2))</f>
        <v>-3.12460562224229</v>
      </c>
    </row>
    <row r="15" customFormat="false" ht="12.8" hidden="false" customHeight="false" outlineLevel="0" collapsed="false">
      <c r="A15" s="5" t="n">
        <v>65</v>
      </c>
      <c r="B15" s="5" t="n">
        <f aca="false">TAN($A15)</f>
        <v>-1.47003825766317</v>
      </c>
      <c r="C15" s="5" t="n">
        <f aca="false">TAN($A15+(PI()/2))</f>
        <v>0.680254404800067</v>
      </c>
    </row>
    <row r="16" customFormat="false" ht="12.8" hidden="false" customHeight="false" outlineLevel="0" collapsed="false">
      <c r="A16" s="5" t="n">
        <v>70</v>
      </c>
      <c r="B16" s="5" t="n">
        <f aca="false">TAN($A16)</f>
        <v>1.22195991813694</v>
      </c>
      <c r="C16" s="5" t="n">
        <f aca="false">TAN($A16+(PI()/2))</f>
        <v>-0.818357447865113</v>
      </c>
    </row>
    <row r="17" customFormat="false" ht="12.8" hidden="false" customHeight="false" outlineLevel="0" collapsed="false">
      <c r="A17" s="5" t="n">
        <v>75</v>
      </c>
      <c r="B17" s="5" t="n">
        <f aca="false">TAN($A17)</f>
        <v>-0.420700950621124</v>
      </c>
      <c r="C17" s="5" t="n">
        <f aca="false">TAN($A17+(PI()/2))</f>
        <v>2.37698535865817</v>
      </c>
    </row>
    <row r="18" customFormat="false" ht="12.8" hidden="false" customHeight="false" outlineLevel="0" collapsed="false">
      <c r="A18" s="5" t="n">
        <v>80</v>
      </c>
      <c r="B18" s="5" t="n">
        <f aca="false">TAN($A18)</f>
        <v>9.00365494560708</v>
      </c>
      <c r="C18" s="5" t="n">
        <f aca="false">TAN($A18+(PI()/2))</f>
        <v>-0.111066006642997</v>
      </c>
    </row>
    <row r="19" customFormat="false" ht="12.8" hidden="false" customHeight="false" outlineLevel="0" collapsed="false">
      <c r="A19" s="5" t="n">
        <v>85</v>
      </c>
      <c r="B19" s="5" t="n">
        <f aca="false">TAN($A19)</f>
        <v>0.178870172438767</v>
      </c>
      <c r="C19" s="5" t="n">
        <f aca="false">TAN($A19+(PI()/2))</f>
        <v>-5.59064703950214</v>
      </c>
    </row>
    <row r="20" customFormat="false" ht="12.8" hidden="false" customHeight="false" outlineLevel="0" collapsed="false">
      <c r="A20" s="5" t="n">
        <v>90</v>
      </c>
      <c r="B20" s="5" t="n">
        <f aca="false">TAN($A20)</f>
        <v>-1.99520041220824</v>
      </c>
      <c r="C20" s="5" t="n">
        <f aca="false">TAN($A20+(PI()/2))</f>
        <v>0.501202783380146</v>
      </c>
    </row>
    <row r="21" customFormat="false" ht="12.8" hidden="false" customHeight="false" outlineLevel="0" collapsed="false">
      <c r="A21" s="5" t="n">
        <v>95</v>
      </c>
      <c r="B21" s="5" t="n">
        <f aca="false">TAN($A21)</f>
        <v>0.935752472063239</v>
      </c>
      <c r="C21" s="5" t="n">
        <f aca="false">TAN($A21+(PI()/2))</f>
        <v>-1.06865867828819</v>
      </c>
    </row>
    <row r="22" customFormat="false" ht="12.8" hidden="false" customHeight="false" outlineLevel="0" collapsed="false">
      <c r="A22" s="5" t="n">
        <v>100</v>
      </c>
      <c r="B22" s="5" t="n">
        <f aca="false">TAN($A22)</f>
        <v>-0.587213915156929</v>
      </c>
      <c r="C22" s="5" t="n">
        <f aca="false">TAN($A22+(PI()/2))</f>
        <v>1.70295691942645</v>
      </c>
    </row>
    <row r="23" customFormat="false" ht="12.8" hidden="false" customHeight="false" outlineLevel="0" collapsed="false">
      <c r="A23" s="5" t="n">
        <v>105</v>
      </c>
      <c r="B23" s="5" t="n">
        <f aca="false">TAN($A23)</f>
        <v>4.02780176388442</v>
      </c>
      <c r="C23" s="5" t="n">
        <f aca="false">TAN($A23+(PI()/2))</f>
        <v>-0.248274383552487</v>
      </c>
    </row>
    <row r="24" customFormat="false" ht="12.8" hidden="false" customHeight="false" outlineLevel="0" collapsed="false">
      <c r="A24" s="5" t="n">
        <v>110</v>
      </c>
      <c r="B24" s="5" t="n">
        <f aca="false">TAN($A24)</f>
        <v>0.0442860423881244</v>
      </c>
      <c r="C24" s="5" t="n">
        <f aca="false">TAN($A24+(PI()/2))</f>
        <v>-22.5804778678593</v>
      </c>
    </row>
    <row r="25" customFormat="false" ht="12.8" hidden="false" customHeight="false" outlineLevel="0" collapsed="false">
      <c r="A25" s="5" t="n">
        <v>115</v>
      </c>
      <c r="B25" s="5" t="n">
        <f aca="false">TAN($A25)</f>
        <v>-2.90180135427931</v>
      </c>
      <c r="C25" s="5" t="n">
        <f aca="false">TAN($A25+(PI()/2))</f>
        <v>0.344613527223452</v>
      </c>
    </row>
    <row r="26" customFormat="false" ht="12.8" hidden="false" customHeight="false" outlineLevel="0" collapsed="false">
      <c r="A26" s="5" t="n">
        <v>120</v>
      </c>
      <c r="B26" s="5" t="n">
        <f aca="false">TAN($A26)</f>
        <v>0.713123009785909</v>
      </c>
      <c r="C26" s="5" t="n">
        <f aca="false">TAN($A26+(PI()/2))</f>
        <v>-1.40228261643139</v>
      </c>
    </row>
    <row r="27" customFormat="false" ht="12.8" hidden="false" customHeight="false" outlineLevel="0" collapsed="false">
      <c r="A27" s="5" t="n">
        <v>125</v>
      </c>
      <c r="B27" s="5" t="n">
        <f aca="false">TAN($A27)</f>
        <v>-0.782060568506901</v>
      </c>
      <c r="C27" s="5" t="n">
        <f aca="false">TAN($A27+(PI()/2))</f>
        <v>1.27867334100372</v>
      </c>
    </row>
    <row r="28" customFormat="false" ht="12.8" hidden="false" customHeight="false" outlineLevel="0" collapsed="false">
      <c r="A28" s="5" t="n">
        <v>130</v>
      </c>
      <c r="B28" s="5" t="n">
        <f aca="false">TAN($A28)</f>
        <v>2.53233842746932</v>
      </c>
      <c r="C28" s="5" t="n">
        <f aca="false">TAN($A28+(PI()/2))</f>
        <v>-0.394891926431555</v>
      </c>
    </row>
    <row r="29" customFormat="false" ht="12.8" hidden="false" customHeight="false" outlineLevel="0" collapsed="false">
      <c r="A29" s="5" t="n">
        <v>135</v>
      </c>
      <c r="B29" s="5" t="n">
        <f aca="false">TAN($A29)</f>
        <v>-0.0887157567700605</v>
      </c>
      <c r="C29" s="5" t="n">
        <f aca="false">TAN($A29+(PI()/2))</f>
        <v>11.2719547959424</v>
      </c>
    </row>
    <row r="30" customFormat="false" ht="12.8" hidden="false" customHeight="false" outlineLevel="0" collapsed="false">
      <c r="A30" s="5" t="n">
        <v>140</v>
      </c>
      <c r="B30" s="5" t="n">
        <f aca="false">TAN($A30)</f>
        <v>-4.95537105769678</v>
      </c>
      <c r="C30" s="5" t="n">
        <f aca="false">TAN($A30+(PI()/2))</f>
        <v>0.201801235135914</v>
      </c>
    </row>
    <row r="31" customFormat="false" ht="12.8" hidden="false" customHeight="false" outlineLevel="0" collapsed="false">
      <c r="A31" s="5" t="n">
        <v>145</v>
      </c>
      <c r="B31" s="5" t="n">
        <f aca="false">TAN($A31)</f>
        <v>0.529205277601419</v>
      </c>
      <c r="C31" s="5" t="n">
        <f aca="false">TAN($A31+(PI()/2))</f>
        <v>-1.88962590194194</v>
      </c>
    </row>
    <row r="32" customFormat="false" ht="12.8" hidden="false" customHeight="false" outlineLevel="0" collapsed="false">
      <c r="A32" s="5" t="n">
        <v>150</v>
      </c>
      <c r="B32" s="5" t="n">
        <f aca="false">TAN($A32)</f>
        <v>-1.02234623543659</v>
      </c>
      <c r="C32" s="5" t="n">
        <f aca="false">TAN($A32+(PI()/2))</f>
        <v>0.978142204018528</v>
      </c>
    </row>
    <row r="33" customFormat="false" ht="12.8" hidden="false" customHeight="false" outlineLevel="0" collapsed="false">
      <c r="A33" s="5" t="n">
        <v>155</v>
      </c>
      <c r="B33" s="5" t="n">
        <f aca="false">TAN($A33)</f>
        <v>1.79265449347981</v>
      </c>
      <c r="C33" s="5" t="n">
        <f aca="false">TAN($A33+(PI()/2))</f>
        <v>-0.557831976901955</v>
      </c>
    </row>
    <row r="34" customFormat="false" ht="12.8" hidden="false" customHeight="false" outlineLevel="0" collapsed="false">
      <c r="A34" s="5" t="n">
        <v>160</v>
      </c>
      <c r="B34" s="5" t="n">
        <f aca="false">TAN($A34)</f>
        <v>-0.22490638145172</v>
      </c>
      <c r="C34" s="5" t="n">
        <f aca="false">TAN($A34+(PI()/2))</f>
        <v>4.44629446948193</v>
      </c>
    </row>
    <row r="35" customFormat="false" ht="12.8" hidden="false" customHeight="false" outlineLevel="0" collapsed="false">
      <c r="A35" s="5" t="n">
        <v>165</v>
      </c>
      <c r="B35" s="5" t="n">
        <f aca="false">TAN($A35)</f>
        <v>-15.0413530465389</v>
      </c>
      <c r="C35" s="5" t="n">
        <f aca="false">TAN($A35+(PI()/2))</f>
        <v>0.0664833806444045</v>
      </c>
    </row>
    <row r="36" customFormat="false" ht="12.8" hidden="false" customHeight="false" outlineLevel="0" collapsed="false">
      <c r="A36" s="5" t="n">
        <v>170</v>
      </c>
      <c r="B36" s="5" t="n">
        <f aca="false">TAN($A36)</f>
        <v>0.369564386915556</v>
      </c>
      <c r="C36" s="5" t="n">
        <f aca="false">TAN($A36+(PI()/2))</f>
        <v>-2.70588843353164</v>
      </c>
    </row>
    <row r="37" customFormat="false" ht="12.8" hidden="false" customHeight="false" outlineLevel="0" collapsed="false">
      <c r="A37" s="5" t="n">
        <v>175</v>
      </c>
      <c r="B37" s="5" t="n">
        <f aca="false">TAN($A37)</f>
        <v>-1.33860604795524</v>
      </c>
      <c r="C37" s="5" t="n">
        <f aca="false">TAN($A37+(PI()/2))</f>
        <v>0.747045780592072</v>
      </c>
    </row>
    <row r="38" customFormat="false" ht="12.8" hidden="false" customHeight="false" outlineLevel="0" collapsed="false">
      <c r="A38" s="5" t="n">
        <v>180</v>
      </c>
      <c r="B38" s="5" t="n">
        <f aca="false">TAN($A38)</f>
        <v>1.33869021035115</v>
      </c>
      <c r="C38" s="5" t="n">
        <f aca="false">TAN($A38+(PI()/2))</f>
        <v>-0.746998814414053</v>
      </c>
    </row>
    <row r="39" customFormat="false" ht="12.8" hidden="false" customHeight="false" outlineLevel="0" collapsed="false">
      <c r="A39" s="5" t="n">
        <v>185</v>
      </c>
      <c r="B39" s="5" t="n">
        <f aca="false">TAN($A39)</f>
        <v>-0.369530125893306</v>
      </c>
      <c r="C39" s="5" t="n">
        <f aca="false">TAN($A39+(PI()/2))</f>
        <v>2.70613931024587</v>
      </c>
    </row>
    <row r="40" customFormat="false" ht="12.8" hidden="false" customHeight="false" outlineLevel="0" collapsed="false">
      <c r="A40" s="5" t="n">
        <v>190</v>
      </c>
      <c r="B40" s="5" t="n">
        <f aca="false">TAN($A40)</f>
        <v>15.0482062260887</v>
      </c>
      <c r="C40" s="5" t="n">
        <f aca="false">TAN($A40+(PI()/2))</f>
        <v>-0.0664531031124766</v>
      </c>
    </row>
    <row r="41" customFormat="false" ht="12.8" hidden="false" customHeight="false" outlineLevel="0" collapsed="false">
      <c r="A41" s="5" t="n">
        <v>195</v>
      </c>
      <c r="B41" s="5" t="n">
        <f aca="false">TAN($A41)</f>
        <v>0.224938050808022</v>
      </c>
      <c r="C41" s="5" t="n">
        <f aca="false">TAN($A41+(PI()/2))</f>
        <v>-4.44566846919775</v>
      </c>
    </row>
    <row r="42" customFormat="false" ht="12.8" hidden="false" customHeight="false" outlineLevel="0" collapsed="false">
      <c r="A42" s="5" t="n">
        <v>200</v>
      </c>
      <c r="B42" s="5" t="n">
        <f aca="false">TAN($A42)</f>
        <v>-1.79252748379038</v>
      </c>
      <c r="C42" s="5" t="n">
        <f aca="false">TAN($A42+(PI()/2))</f>
        <v>0.557871502134763</v>
      </c>
    </row>
    <row r="43" customFormat="false" ht="12.8" hidden="false" customHeight="false" outlineLevel="0" collapsed="false">
      <c r="A43" s="5" t="n">
        <v>205</v>
      </c>
      <c r="B43" s="5" t="n">
        <f aca="false">TAN($A43)</f>
        <v>1.0224078883217</v>
      </c>
      <c r="C43" s="5" t="n">
        <f aca="false">TAN($A43+(PI()/2))</f>
        <v>-0.97808322042735</v>
      </c>
    </row>
    <row r="44" customFormat="false" ht="12.8" hidden="false" customHeight="false" outlineLevel="0" collapsed="false">
      <c r="A44" s="5" t="n">
        <v>210</v>
      </c>
      <c r="B44" s="5" t="n">
        <f aca="false">TAN($A44)</f>
        <v>-0.529166691689464</v>
      </c>
      <c r="C44" s="5" t="n">
        <f aca="false">TAN($A44+(PI()/2))</f>
        <v>1.88976369016594</v>
      </c>
    </row>
    <row r="45" customFormat="false" ht="12.8" hidden="false" customHeight="false" outlineLevel="0" collapsed="false">
      <c r="A45" s="5" t="n">
        <v>215</v>
      </c>
      <c r="B45" s="5" t="n">
        <f aca="false">TAN($A45)</f>
        <v>4.95614153290906</v>
      </c>
      <c r="C45" s="5" t="n">
        <f aca="false">TAN($A45+(PI()/2))</f>
        <v>-0.201769863382628</v>
      </c>
    </row>
    <row r="46" customFormat="false" ht="12.8" hidden="false" customHeight="false" outlineLevel="0" collapsed="false">
      <c r="A46" s="5" t="n">
        <v>220</v>
      </c>
      <c r="B46" s="5" t="n">
        <f aca="false">TAN($A46)</f>
        <v>0.0887461384553789</v>
      </c>
      <c r="C46" s="5" t="n">
        <f aca="false">TAN($A46+(PI()/2))</f>
        <v>-11.2680959127349</v>
      </c>
    </row>
    <row r="47" customFormat="false" ht="12.8" hidden="false" customHeight="false" outlineLevel="0" collapsed="false">
      <c r="A47" s="5" t="n">
        <v>225</v>
      </c>
      <c r="B47" s="5" t="n">
        <f aca="false">TAN($A47)</f>
        <v>-2.53211499233434</v>
      </c>
      <c r="C47" s="5" t="n">
        <f aca="false">TAN($A47+(PI()/2))</f>
        <v>0.394926771899127</v>
      </c>
    </row>
    <row r="48" customFormat="false" ht="12.8" hidden="false" customHeight="false" outlineLevel="0" collapsed="false">
      <c r="A48" s="5" t="n">
        <v>230</v>
      </c>
      <c r="B48" s="5" t="n">
        <f aca="false">TAN($A48)</f>
        <v>0.782109150856801</v>
      </c>
      <c r="C48" s="5" t="n">
        <f aca="false">TAN($A48+(PI()/2))</f>
        <v>-1.27859391352794</v>
      </c>
    </row>
    <row r="49" customFormat="false" ht="12.8" hidden="false" customHeight="false" outlineLevel="0" collapsed="false">
      <c r="A49" s="5" t="n">
        <v>235</v>
      </c>
      <c r="B49" s="5" t="n">
        <f aca="false">TAN($A49)</f>
        <v>-0.713077536667139</v>
      </c>
      <c r="C49" s="5" t="n">
        <f aca="false">TAN($A49+(PI()/2))</f>
        <v>1.40237204031682</v>
      </c>
    </row>
    <row r="50" customFormat="false" ht="12.8" hidden="false" customHeight="false" outlineLevel="0" collapsed="false">
      <c r="A50" s="5" t="n">
        <v>240</v>
      </c>
      <c r="B50" s="5" t="n">
        <f aca="false">TAN($A50)</f>
        <v>2.90208535252835</v>
      </c>
      <c r="C50" s="5" t="n">
        <f aca="false">TAN($A50+(PI()/2))</f>
        <v>-0.344579803322738</v>
      </c>
    </row>
    <row r="51" customFormat="false" ht="12.8" hidden="false" customHeight="false" outlineLevel="0" collapsed="false">
      <c r="A51" s="5" t="n">
        <v>245</v>
      </c>
      <c r="B51" s="5" t="n">
        <f aca="false">TAN($A51)</f>
        <v>-0.0442558389543519</v>
      </c>
      <c r="C51" s="5" t="n">
        <f aca="false">TAN($A51+(PI()/2))</f>
        <v>22.5958884438127</v>
      </c>
    </row>
    <row r="52" customFormat="false" ht="12.8" hidden="false" customHeight="false" outlineLevel="0" collapsed="false">
      <c r="A52" s="5" t="n">
        <v>250</v>
      </c>
      <c r="B52" s="5" t="n">
        <f aca="false">TAN($A52)</f>
        <v>-4.02728264507686</v>
      </c>
      <c r="C52" s="5" t="n">
        <f aca="false">TAN($A52+(PI()/2))</f>
        <v>0.248306386248411</v>
      </c>
    </row>
    <row r="53" customFormat="false" ht="12.8" hidden="false" customHeight="false" outlineLevel="0" collapsed="false">
      <c r="A53" s="5" t="n">
        <v>255</v>
      </c>
      <c r="B53" s="5" t="n">
        <f aca="false">TAN($A53)</f>
        <v>0.58725445460932</v>
      </c>
      <c r="C53" s="5" t="n">
        <f aca="false">TAN($A53+(PI()/2))</f>
        <v>-1.70283936060609</v>
      </c>
    </row>
    <row r="54" customFormat="false" ht="12.8" hidden="false" customHeight="false" outlineLevel="0" collapsed="false">
      <c r="A54" s="5" t="n">
        <v>260</v>
      </c>
      <c r="B54" s="5" t="n">
        <f aca="false">TAN($A54)</f>
        <v>-0.935695933923473</v>
      </c>
      <c r="C54" s="5" t="n">
        <f aca="false">TAN($A54+(PI()/2))</f>
        <v>1.06872325051888</v>
      </c>
    </row>
    <row r="55" customFormat="false" ht="12.8" hidden="false" customHeight="false" outlineLevel="0" collapsed="false">
      <c r="A55" s="5" t="n">
        <v>265</v>
      </c>
      <c r="B55" s="5" t="n">
        <f aca="false">TAN($A55)</f>
        <v>1.99535056497843</v>
      </c>
      <c r="C55" s="5" t="n">
        <f aca="false">TAN($A55+(PI()/2))</f>
        <v>-0.501165067207539</v>
      </c>
    </row>
    <row r="56" customFormat="false" ht="12.8" hidden="false" customHeight="false" outlineLevel="0" collapsed="false">
      <c r="A56" s="5" t="n">
        <v>270</v>
      </c>
      <c r="B56" s="5" t="n">
        <f aca="false">TAN($A56)</f>
        <v>-0.178839063798452</v>
      </c>
      <c r="C56" s="5" t="n">
        <f aca="false">TAN($A56+(PI()/2))</f>
        <v>5.59161951958632</v>
      </c>
    </row>
    <row r="57" customFormat="false" ht="12.8" hidden="false" customHeight="false" outlineLevel="0" collapsed="false">
      <c r="A57" s="5" t="n">
        <v>275</v>
      </c>
      <c r="B57" s="5" t="n">
        <f aca="false">TAN($A57)</f>
        <v>-9.00118179629616</v>
      </c>
      <c r="C57" s="5" t="n">
        <f aca="false">TAN($A57+(PI()/2))</f>
        <v>0.111096522948957</v>
      </c>
    </row>
    <row r="58" customFormat="false" ht="12.8" hidden="false" customHeight="false" outlineLevel="0" collapsed="false">
      <c r="A58" s="5" t="n">
        <v>280</v>
      </c>
      <c r="B58" s="5" t="n">
        <f aca="false">TAN($A58)</f>
        <v>0.420736430652143</v>
      </c>
      <c r="C58" s="5" t="n">
        <f aca="false">TAN($A58+(PI()/2))</f>
        <v>-2.37678491128047</v>
      </c>
    </row>
    <row r="59" customFormat="false" ht="12.8" hidden="false" customHeight="false" outlineLevel="0" collapsed="false">
      <c r="A59" s="5" t="n">
        <v>285</v>
      </c>
      <c r="B59" s="5" t="n">
        <f aca="false">TAN($A59)</f>
        <v>-1.22188476542415</v>
      </c>
      <c r="C59" s="5" t="n">
        <f aca="false">TAN($A59+(PI()/2))</f>
        <v>0.818407781402254</v>
      </c>
    </row>
    <row r="60" customFormat="false" ht="12.8" hidden="false" customHeight="false" outlineLevel="0" collapsed="false">
      <c r="A60" s="5" t="n">
        <v>290</v>
      </c>
      <c r="B60" s="5" t="n">
        <f aca="false">TAN($A60)</f>
        <v>1.47013354856302</v>
      </c>
      <c r="C60" s="5" t="n">
        <f aca="false">TAN($A60+(PI()/2))</f>
        <v>-0.680210312170254</v>
      </c>
    </row>
    <row r="61" customFormat="false" ht="12.8" hidden="false" customHeight="false" outlineLevel="0" collapsed="false">
      <c r="A61" s="5" t="n">
        <v>295</v>
      </c>
      <c r="B61" s="5" t="n">
        <f aca="false">TAN($A61)</f>
        <v>-0.320007157785746</v>
      </c>
      <c r="C61" s="5" t="n">
        <f aca="false">TAN($A61+(PI()/2))</f>
        <v>3.12493010131201</v>
      </c>
    </row>
    <row r="62" customFormat="false" ht="12.8" hidden="false" customHeight="false" outlineLevel="0" collapsed="false">
      <c r="A62" s="5" t="n">
        <v>300</v>
      </c>
      <c r="B62" s="5" t="n">
        <f aca="false">TAN($A62)</f>
        <v>45.2447420708194</v>
      </c>
      <c r="C62" s="5" t="n">
        <f aca="false">TAN($A62+(PI()/2))</f>
        <v>-0.0221020157090296</v>
      </c>
    </row>
    <row r="63" customFormat="false" ht="12.8" hidden="false" customHeight="false" outlineLevel="0" collapsed="false">
      <c r="A63" s="5" t="n">
        <v>305</v>
      </c>
      <c r="B63" s="5" t="n">
        <f aca="false">TAN($A63)</f>
        <v>0.271932985186664</v>
      </c>
      <c r="C63" s="5" t="n">
        <f aca="false">TAN($A63+(PI()/2))</f>
        <v>-3.67737661289449</v>
      </c>
    </row>
    <row r="64" customFormat="false" ht="12.8" hidden="false" customHeight="false" outlineLevel="0" collapsed="false">
      <c r="A64" s="5" t="n">
        <v>310</v>
      </c>
      <c r="B64" s="5" t="n">
        <f aca="false">TAN($A64)</f>
        <v>-1.61966596263788</v>
      </c>
      <c r="C64" s="5" t="n">
        <f aca="false">TAN($A64+(PI()/2))</f>
        <v>0.617411258288922</v>
      </c>
    </row>
    <row r="65" customFormat="false" ht="12.8" hidden="false" customHeight="false" outlineLevel="0" collapsed="false">
      <c r="A65" s="5" t="n">
        <v>315</v>
      </c>
      <c r="B65" s="5" t="n">
        <f aca="false">TAN($A65)</f>
        <v>1.11728270281316</v>
      </c>
      <c r="C65" s="5" t="n">
        <f aca="false">TAN($A65+(PI()/2))</f>
        <v>-0.895028623894516</v>
      </c>
    </row>
    <row r="66" customFormat="false" ht="12.8" hidden="false" customHeight="false" outlineLevel="0" collapsed="false">
      <c r="A66" s="5" t="n">
        <v>320</v>
      </c>
      <c r="B66" s="5" t="n">
        <f aca="false">TAN($A66)</f>
        <v>-0.473777809169208</v>
      </c>
      <c r="C66" s="5" t="n">
        <f aca="false">TAN($A66+(PI()/2))</f>
        <v>2.11069404401513</v>
      </c>
    </row>
    <row r="67" customFormat="false" ht="12.8" hidden="false" customHeight="false" outlineLevel="0" collapsed="false">
      <c r="A67" s="5" t="n">
        <v>325</v>
      </c>
      <c r="B67" s="5" t="n">
        <f aca="false">TAN($A67)</f>
        <v>6.40659835626962</v>
      </c>
      <c r="C67" s="5" t="n">
        <f aca="false">TAN($A67+(PI()/2))</f>
        <v>-0.15608907323204</v>
      </c>
    </row>
    <row r="68" customFormat="false" ht="12.8" hidden="false" customHeight="false" outlineLevel="0" collapsed="false">
      <c r="A68" s="5" t="n">
        <v>330</v>
      </c>
      <c r="B68" s="5" t="n">
        <f aca="false">TAN($A68)</f>
        <v>0.133557088951167</v>
      </c>
      <c r="C68" s="5" t="n">
        <f aca="false">TAN($A68+(PI()/2))</f>
        <v>-7.48743483294755</v>
      </c>
    </row>
    <row r="69" customFormat="false" ht="12.8" hidden="false" customHeight="false" outlineLevel="0" collapsed="false">
      <c r="A69" s="5" t="n">
        <v>335</v>
      </c>
      <c r="B69" s="5" t="n">
        <f aca="false">TAN($A69)</f>
        <v>-2.23697994293236</v>
      </c>
      <c r="C69" s="5" t="n">
        <f aca="false">TAN($A69+(PI()/2))</f>
        <v>0.447031276770917</v>
      </c>
    </row>
    <row r="70" customFormat="false" ht="12.8" hidden="false" customHeight="false" outlineLevel="0" collapsed="false">
      <c r="A70" s="5" t="n">
        <v>340</v>
      </c>
      <c r="B70" s="5" t="n">
        <f aca="false">TAN($A70)</f>
        <v>0.856045634122039</v>
      </c>
      <c r="C70" s="5" t="n">
        <f aca="false">TAN($A70+(PI()/2))</f>
        <v>-1.16816202330803</v>
      </c>
    </row>
    <row r="71" customFormat="false" ht="12.8" hidden="false" customHeight="false" outlineLevel="0" collapsed="false">
      <c r="A71" s="5" t="n">
        <v>345</v>
      </c>
      <c r="B71" s="5" t="n">
        <f aca="false">TAN($A71)</f>
        <v>-0.648318012107555</v>
      </c>
      <c r="C71" s="5" t="n">
        <f aca="false">TAN($A71+(PI()/2))</f>
        <v>1.54245290324294</v>
      </c>
    </row>
    <row r="72" customFormat="false" ht="12.8" hidden="false" customHeight="false" outlineLevel="0" collapsed="false">
      <c r="A72" s="5" t="n">
        <v>350</v>
      </c>
      <c r="B72" s="5" t="n">
        <f aca="false">TAN($A72)</f>
        <v>3.38088967488448</v>
      </c>
      <c r="C72" s="5" t="n">
        <f aca="false">TAN($A72+(PI()/2))</f>
        <v>-0.295780133681585</v>
      </c>
    </row>
    <row r="73" customFormat="false" ht="12.8" hidden="false" customHeight="false" outlineLevel="0" collapsed="false">
      <c r="A73" s="5" t="n">
        <v>355</v>
      </c>
      <c r="B73" s="5" t="n">
        <f aca="false">TAN($A73)</f>
        <v>3.01443533731843E-005</v>
      </c>
      <c r="C73" s="5" t="n">
        <f aca="false">TAN($A73+(PI()/2))</f>
        <v>-33173.7087805106</v>
      </c>
    </row>
    <row r="74" customFormat="false" ht="12.8" hidden="false" customHeight="false" outlineLevel="0" collapsed="false">
      <c r="A74" s="5" t="n">
        <v>360</v>
      </c>
      <c r="B74" s="5" t="n">
        <f aca="false">TAN($A74)</f>
        <v>-3.38014041396096</v>
      </c>
      <c r="C74" s="5" t="n">
        <f aca="false">TAN($A74+(PI()/2))</f>
        <v>0.295845697968549</v>
      </c>
    </row>
  </sheetData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C4:D1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9" activeCellId="0" sqref="F9"/>
    </sheetView>
  </sheetViews>
  <sheetFormatPr defaultColWidth="8.609375" defaultRowHeight="15" zeroHeight="false" outlineLevelRow="0" outlineLevelCol="0"/>
  <cols>
    <col collapsed="false" customWidth="true" hidden="false" outlineLevel="0" max="3" min="3" style="0" width="12.57"/>
    <col collapsed="false" customWidth="true" hidden="false" outlineLevel="0" max="4" min="4" style="0" width="13.14"/>
  </cols>
  <sheetData>
    <row r="4" customFormat="false" ht="15" hidden="false" customHeight="false" outlineLevel="0" collapsed="false">
      <c r="C4" s="2" t="s">
        <v>39</v>
      </c>
      <c r="D4" s="2" t="s">
        <v>40</v>
      </c>
    </row>
    <row r="5" customFormat="false" ht="15" hidden="false" customHeight="false" outlineLevel="0" collapsed="false">
      <c r="C5" s="1" t="s">
        <v>41</v>
      </c>
      <c r="D5" s="1" t="n">
        <f aca="true">ROUND(RAND()*20+2,0)</f>
        <v>20</v>
      </c>
    </row>
    <row r="6" customFormat="false" ht="15" hidden="false" customHeight="false" outlineLevel="0" collapsed="false">
      <c r="C6" s="1" t="s">
        <v>42</v>
      </c>
      <c r="D6" s="1" t="n">
        <f aca="true">ROUND(RAND()*20+2,0)</f>
        <v>16</v>
      </c>
    </row>
    <row r="7" customFormat="false" ht="15" hidden="false" customHeight="false" outlineLevel="0" collapsed="false">
      <c r="C7" s="1" t="s">
        <v>43</v>
      </c>
      <c r="D7" s="1" t="n">
        <f aca="true">ROUND(RAND()*20+2,0)</f>
        <v>4</v>
      </c>
    </row>
    <row r="8" customFormat="false" ht="15" hidden="false" customHeight="false" outlineLevel="0" collapsed="false">
      <c r="C8" s="1" t="s">
        <v>44</v>
      </c>
      <c r="D8" s="1" t="n">
        <f aca="true">ROUND(RAND()*20+2,0)</f>
        <v>9</v>
      </c>
    </row>
    <row r="9" customFormat="false" ht="15" hidden="false" customHeight="false" outlineLevel="0" collapsed="false">
      <c r="C9" s="1" t="s">
        <v>45</v>
      </c>
      <c r="D9" s="1" t="n">
        <f aca="true">ROUND(RAND()*20+2,0)</f>
        <v>5</v>
      </c>
    </row>
    <row r="10" customFormat="false" ht="15" hidden="false" customHeight="false" outlineLevel="0" collapsed="false">
      <c r="C10" s="1" t="s">
        <v>46</v>
      </c>
      <c r="D10" s="1" t="n">
        <f aca="true">ROUND(RAND()*20+2,0)</f>
        <v>15</v>
      </c>
    </row>
    <row r="11" customFormat="false" ht="15" hidden="false" customHeight="false" outlineLevel="0" collapsed="false">
      <c r="C11" s="1" t="s">
        <v>47</v>
      </c>
      <c r="D11" s="1" t="n">
        <f aca="true">ROUND(RAND()*20+2,0)</f>
        <v>3</v>
      </c>
    </row>
    <row r="12" customFormat="false" ht="15" hidden="false" customHeight="false" outlineLevel="0" collapsed="false">
      <c r="C12" s="1" t="s">
        <v>48</v>
      </c>
      <c r="D12" s="1" t="n">
        <f aca="true">ROUND(RAND()*20+2,0)</f>
        <v>3</v>
      </c>
    </row>
    <row r="13" customFormat="false" ht="15" hidden="false" customHeight="false" outlineLevel="0" collapsed="false">
      <c r="C13" s="1" t="s">
        <v>49</v>
      </c>
      <c r="D13" s="1" t="n">
        <f aca="false">ROUND((172-D9-D10-D11-D12)/8,0)</f>
        <v>18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1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4" activeCellId="0" sqref="E4"/>
    </sheetView>
  </sheetViews>
  <sheetFormatPr defaultColWidth="8.609375" defaultRowHeight="15" zeroHeight="false" outlineLevelRow="0" outlineLevelCol="0"/>
  <cols>
    <col collapsed="false" customWidth="true" hidden="false" outlineLevel="0" max="2" min="1" style="0" width="11.14"/>
  </cols>
  <sheetData>
    <row r="1" customFormat="false" ht="15" hidden="false" customHeight="false" outlineLevel="0" collapsed="false">
      <c r="A1" s="6" t="s">
        <v>0</v>
      </c>
      <c r="B1" s="6" t="s">
        <v>50</v>
      </c>
    </row>
    <row r="2" customFormat="false" ht="15" hidden="false" customHeight="false" outlineLevel="0" collapsed="false">
      <c r="A2" s="7" t="s">
        <v>51</v>
      </c>
      <c r="B2" s="8" t="n">
        <f aca="true">ROUND(RAND()*10+90,1)/100</f>
        <v>0.946</v>
      </c>
    </row>
    <row r="3" customFormat="false" ht="15" hidden="false" customHeight="false" outlineLevel="0" collapsed="false">
      <c r="A3" s="7" t="s">
        <v>52</v>
      </c>
      <c r="B3" s="9" t="n">
        <f aca="true">B2+ROUND(RAND()*0.05-0.04,2)</f>
        <v>0.956</v>
      </c>
    </row>
    <row r="4" customFormat="false" ht="15" hidden="false" customHeight="false" outlineLevel="0" collapsed="false">
      <c r="A4" s="7" t="s">
        <v>53</v>
      </c>
      <c r="B4" s="9" t="n">
        <f aca="true">B3+ROUND(RAND()*0.05-0.04,2)</f>
        <v>0.956</v>
      </c>
    </row>
    <row r="5" customFormat="false" ht="15" hidden="false" customHeight="false" outlineLevel="0" collapsed="false">
      <c r="A5" s="7" t="s">
        <v>54</v>
      </c>
      <c r="B5" s="9" t="n">
        <f aca="true">B4+ROUND(RAND()*0.05-0.04,2)</f>
        <v>0.916</v>
      </c>
    </row>
    <row r="6" customFormat="false" ht="15" hidden="false" customHeight="false" outlineLevel="0" collapsed="false">
      <c r="A6" s="7" t="s">
        <v>55</v>
      </c>
      <c r="B6" s="9" t="n">
        <f aca="true">B5+ROUND(RAND()*0.05-0.04,2)</f>
        <v>0.886</v>
      </c>
    </row>
    <row r="7" customFormat="false" ht="15" hidden="false" customHeight="false" outlineLevel="0" collapsed="false">
      <c r="A7" s="7" t="s">
        <v>56</v>
      </c>
      <c r="B7" s="9" t="n">
        <f aca="true">B6+ROUND(RAND()*0.05-0.04,2)</f>
        <v>0.896</v>
      </c>
    </row>
    <row r="8" customFormat="false" ht="15" hidden="false" customHeight="false" outlineLevel="0" collapsed="false">
      <c r="A8" s="7" t="s">
        <v>57</v>
      </c>
      <c r="B8" s="9" t="n">
        <f aca="true">B7+ROUND(RAND()*0.05-0.04,2)</f>
        <v>0.866</v>
      </c>
    </row>
    <row r="9" customFormat="false" ht="15" hidden="false" customHeight="false" outlineLevel="0" collapsed="false">
      <c r="A9" s="7" t="s">
        <v>58</v>
      </c>
      <c r="B9" s="9" t="n">
        <f aca="true">B8+ROUND(RAND()*0.05-0.04,2)</f>
        <v>0.836</v>
      </c>
    </row>
    <row r="10" customFormat="false" ht="15" hidden="false" customHeight="false" outlineLevel="0" collapsed="false">
      <c r="A10" s="7" t="s">
        <v>59</v>
      </c>
      <c r="B10" s="7"/>
    </row>
    <row r="11" customFormat="false" ht="15" hidden="false" customHeight="false" outlineLevel="0" collapsed="false">
      <c r="A11" s="7" t="s">
        <v>60</v>
      </c>
      <c r="B11" s="7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09375" defaultRowHeight="15" zeroHeight="false" outlineLevelRow="0" outlineLevelCol="0"/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10</TotalTime>
  <Application>LibreOffice/6.3.3.2.0$Linux_X86_64 LibreOffice_project/30$Build-2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2019-12-16T15:02:28Z</dcterms:created>
  <dc:creator/>
  <dc:description/>
  <dc:language>en-US</dc:language>
  <cp:lastModifiedBy/>
  <dcterms:modified xsi:type="dcterms:W3CDTF">2019-12-16T15:44:25Z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